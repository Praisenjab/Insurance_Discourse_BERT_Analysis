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41dd77d86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5d0feb76287f47c9"/>
    <x:sheet xmlns:r="http://schemas.openxmlformats.org/officeDocument/2006/relationships" name="Figure 4.1" sheetId="2" r:id="R7869ed12fd3c4394"/>
    <x:sheet xmlns:r="http://schemas.openxmlformats.org/officeDocument/2006/relationships" name="Figure 4.2" sheetId="3" r:id="R95d2932a44d1412f"/>
    <x:sheet xmlns:r="http://schemas.openxmlformats.org/officeDocument/2006/relationships" name="Figure 4.3" sheetId="4" r:id="Re3a0ba523c484e68"/>
    <x:sheet xmlns:r="http://schemas.openxmlformats.org/officeDocument/2006/relationships" name="Figure 4.4" sheetId="5" r:id="R859ea649ac714fe4"/>
    <x:sheet xmlns:r="http://schemas.openxmlformats.org/officeDocument/2006/relationships" name="Figure 4.5" sheetId="6" r:id="R70c0456285394d6e"/>
    <x:sheet xmlns:r="http://schemas.openxmlformats.org/officeDocument/2006/relationships" name="Figure 4.6" sheetId="7" r:id="R8d3d6dc380a74e3e"/>
    <x:sheet xmlns:r="http://schemas.openxmlformats.org/officeDocument/2006/relationships" name="Figure 4.7" sheetId="8" r:id="R786c751f6b60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8">
    <x:font>
      <x:sz val="11"/>
      <x:name val="Carlito"/>
    </x:font>
    <x:font>
      <x:b/>
      <x:sz val="11"/>
      <x:color rgb="FFFFFFFF"/>
      <x:name val="Calibri"/>
    </x:font>
    <x:font>
      <x:sz val="10"/>
      <x:color rgb="FF000000"/>
      <x:name val="Calibri"/>
    </x:font>
    <x:font>
      <x:b/>
      <x:sz val="10"/>
      <x:name val="Calibri"/>
    </x:font>
    <x:font>
      <x:sz val="10"/>
      <x:name val="Calibri"/>
    </x:font>
    <x:font>
      <x:b/>
      <x:sz val="11"/>
      <x:color rgb="FF000000"/>
      <x:name val="Calibri"/>
    </x:font>
    <x:font>
      <x:b/>
      <x:sz val="18"/>
      <x:color rgb="FF1F4E79"/>
      <x:name val="Calibri"/>
    </x:font>
    <x:font>
      <x:b/>
      <x:sz val="12"/>
      <x:color rgb="FFFFFFFF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EDEDED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E7E6E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medium">
        <x:color rgb="FF1F4E79"/>
      </x:left>
      <x:top style="medium">
        <x:color rgb="FF1F4E79"/>
      </x:top>
    </x:border>
    <x:border>
      <x:top style="medium">
        <x:color rgb="FF1F4E79"/>
      </x:top>
    </x:border>
    <x:border>
      <x:right style="medium">
        <x:color rgb="FF1F4E79"/>
      </x:right>
      <x:top style="medium">
        <x:color rgb="FF1F4E79"/>
      </x:top>
    </x:border>
    <x:border>
      <x:left style="medium">
        <x:color rgb="FF1F4E79"/>
      </x:left>
    </x:border>
    <x:border>
      <x:right style="medium">
        <x:color rgb="FF1F4E79"/>
      </x:right>
    </x:border>
    <x:border>
      <x:left style="medium">
        <x:color rgb="FF1F4E79"/>
      </x:left>
      <x:bottom style="medium">
        <x:color rgb="FF1F4E79"/>
      </x:bottom>
    </x:border>
    <x:border>
      <x:bottom style="medium">
        <x:color rgb="FF1F4E79"/>
      </x:bottom>
    </x:border>
    <x:border>
      <x:right style="medium">
        <x:color rgb="FF1F4E79"/>
      </x:right>
      <x:bottom style="medium">
        <x:color rgb="FF1F4E79"/>
      </x:bottom>
    </x:border>
  </x:borders>
  <x:cellStyleXfs count="1">
    <x:xf numFmtId="0" fontId="0" fillId="0" borderId="0"/>
  </x:cellStyleXfs>
  <x:cellXfs count="499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2" xfId="0" applyNumberFormat="1" applyFont="1" applyFill="1" applyBorder="1"/>
    <x:xf numFmtId="20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2" fillId="0" borderId="2" xfId="0" applyNumberFormat="1" applyFont="1" applyFill="1" applyBorder="1"/>
    <x:xf numFmtId="201" fontId="2" fillId="0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6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10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3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horizontal="center" wrapText="1"/>
    </x:xf>
    <x:xf numFmtId="0" fontId="5" fillId="8" borderId="4" xfId="0" applyNumberFormat="1" applyFont="1" applyFill="1" applyBorder="1" applyAlignment="1">
      <x:alignment horizontal="center" wrapText="1"/>
    </x:xf>
    <x:xf numFmtId="0" fontId="5" fillId="8" borderId="5" xfId="0" applyNumberFormat="1" applyFont="1" applyFill="1" applyBorder="1" applyAlignment="1">
      <x:alignment horizontal="center" wrapText="1"/>
    </x:xf>
    <x:xf numFmtId="0" fontId="5" fillId="8" borderId="6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7" xfId="0" applyNumberFormat="1" applyFont="1" applyFill="1" applyBorder="1" applyAlignment="1">
      <x:alignment horizontal="center" wrapText="1"/>
    </x:xf>
    <x:xf numFmtId="0" fontId="5" fillId="8" borderId="8" xfId="0" applyNumberFormat="1" applyFont="1" applyFill="1" applyBorder="1" applyAlignment="1">
      <x:alignment horizontal="center" wrapText="1"/>
    </x:xf>
    <x:xf numFmtId="0" fontId="5" fillId="8" borderId="9" xfId="0" applyNumberFormat="1" applyFont="1" applyFill="1" applyBorder="1" applyAlignment="1">
      <x:alignment horizontal="center" wrapText="1"/>
    </x:xf>
    <x:xf numFmtId="0" fontId="5" fillId="8" borderId="10" xfId="0" applyNumberFormat="1" applyFont="1" applyFill="1" applyBorder="1" applyAlignment="1">
      <x:alignment horizont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5" fillId="8" borderId="6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8" borderId="8" xfId="0" applyNumberFormat="1" applyFont="1" applyFill="1" applyBorder="1" applyAlignment="1">
      <x:alignment horizontal="center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5" fillId="8" borderId="1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9" xfId="0" applyNumberFormat="1" applyFont="1" applyFill="1" applyBorder="1" applyAlignment="1">
      <x:alignment horizontal="center" wrapText="1"/>
    </x:xf>
    <x:xf numFmtId="0" fontId="5" fillId="4" borderId="10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3" xfId="0" applyNumberFormat="1" applyFont="1" applyFill="1" applyBorder="1"/>
    <x:xf numFmtId="0" fontId="5" fillId="9" borderId="4" xfId="0" applyNumberFormat="1" applyFont="1" applyFill="1" applyBorder="1"/>
    <x:xf numFmtId="0" fontId="5" fillId="9" borderId="5" xfId="0" applyNumberFormat="1" applyFont="1" applyFill="1" applyBorder="1"/>
    <x:xf numFmtId="0" fontId="5" fillId="9" borderId="6" xfId="0" applyNumberFormat="1" applyFont="1" applyFill="1" applyBorder="1"/>
    <x:xf numFmtId="0" fontId="5" fillId="9" borderId="7" xfId="0" applyNumberFormat="1" applyFont="1" applyFill="1" applyBorder="1"/>
    <x:xf numFmtId="0" fontId="5" fillId="9" borderId="8" xfId="0" applyNumberFormat="1" applyFont="1" applyFill="1" applyBorder="1"/>
    <x:xf numFmtId="0" fontId="5" fillId="9" borderId="9" xfId="0" applyNumberFormat="1" applyFont="1" applyFill="1" applyBorder="1"/>
    <x:xf numFmtId="0" fontId="5" fillId="9" borderId="10" xfId="0" applyNumberFormat="1" applyFont="1" applyFill="1" applyBorder="1"/>
    <x:xf numFmtId="0" fontId="5" fillId="9" borderId="3" xfId="0" applyNumberFormat="1" applyFont="1" applyFill="1" applyBorder="1" applyAlignment="1">
      <x:alignment wrapText="1"/>
    </x:xf>
    <x:xf numFmtId="0" fontId="5" fillId="9" borderId="4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wrapText="1"/>
    </x:xf>
    <x:xf numFmtId="0" fontId="5" fillId="9" borderId="6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7" xfId="0" applyNumberFormat="1" applyFont="1" applyFill="1" applyBorder="1" applyAlignment="1">
      <x:alignment wrapText="1"/>
    </x:xf>
    <x:xf numFmtId="0" fontId="5" fillId="9" borderId="8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wrapText="1"/>
    </x:xf>
    <x:xf numFmtId="0" fontId="5" fillId="9" borderId="10" xfId="0" applyNumberFormat="1" applyFont="1" applyFill="1" applyBorder="1" applyAlignment="1">
      <x:alignment wrapText="1"/>
    </x:xf>
    <x:xf numFmtId="0" fontId="5" fillId="9" borderId="3" xfId="0" applyNumberFormat="1" applyFont="1" applyFill="1" applyBorder="1" applyAlignment="1">
      <x:alignment horizontal="center" wrapText="1"/>
    </x:xf>
    <x:xf numFmtId="0" fontId="5" fillId="9" borderId="4" xfId="0" applyNumberFormat="1" applyFont="1" applyFill="1" applyBorder="1" applyAlignment="1">
      <x:alignment horizontal="center" wrapText="1"/>
    </x:xf>
    <x:xf numFmtId="0" fontId="5" fillId="9" borderId="5" xfId="0" applyNumberFormat="1" applyFont="1" applyFill="1" applyBorder="1" applyAlignment="1">
      <x:alignment horizontal="center" wrapText="1"/>
    </x:xf>
    <x:xf numFmtId="0" fontId="5" fillId="9" borderId="6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7" xfId="0" applyNumberFormat="1" applyFont="1" applyFill="1" applyBorder="1" applyAlignment="1">
      <x:alignment horizontal="center" wrapText="1"/>
    </x:xf>
    <x:xf numFmtId="0" fontId="5" fillId="9" borderId="8" xfId="0" applyNumberFormat="1" applyFont="1" applyFill="1" applyBorder="1" applyAlignment="1">
      <x:alignment horizontal="center" wrapText="1"/>
    </x:xf>
    <x:xf numFmtId="0" fontId="5" fillId="9" borderId="9" xfId="0" applyNumberFormat="1" applyFont="1" applyFill="1" applyBorder="1" applyAlignment="1">
      <x:alignment horizontal="center" wrapText="1"/>
    </x:xf>
    <x:xf numFmtId="0" fontId="5" fillId="9" borderId="10" xfId="0" applyNumberFormat="1" applyFont="1" applyFill="1" applyBorder="1" applyAlignment="1">
      <x:alignment horizont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5" fillId="9" borderId="6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7" xfId="0" applyNumberFormat="1" applyFont="1" applyFill="1" applyBorder="1" applyAlignment="1">
      <x:alignment horizontal="center" vertical="center" wrapText="1"/>
    </x:xf>
    <x:xf numFmtId="0" fontId="5" fillId="9" borderId="8" xfId="0" applyNumberFormat="1" applyFont="1" applyFill="1" applyBorder="1" applyAlignment="1">
      <x:alignment horizontal="center" vertical="center" wrapText="1"/>
    </x:xf>
    <x:xf numFmtId="0" fontId="5" fillId="9" borderId="9" xfId="0" applyNumberFormat="1" applyFont="1" applyFill="1" applyBorder="1" applyAlignment="1">
      <x:alignment horizontal="center" vertical="center" wrapText="1"/>
    </x:xf>
    <x:xf numFmtId="0" fontId="5" fillId="9" borderId="1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3" xfId="0" applyNumberFormat="1" applyFont="1" applyFill="1" applyBorder="1"/>
    <x:xf numFmtId="0" fontId="5" fillId="10" borderId="4" xfId="0" applyNumberFormat="1" applyFont="1" applyFill="1" applyBorder="1"/>
    <x:xf numFmtId="0" fontId="5" fillId="10" borderId="5" xfId="0" applyNumberFormat="1" applyFont="1" applyFill="1" applyBorder="1"/>
    <x:xf numFmtId="0" fontId="5" fillId="10" borderId="6" xfId="0" applyNumberFormat="1" applyFont="1" applyFill="1" applyBorder="1"/>
    <x:xf numFmtId="0" fontId="5" fillId="10" borderId="7" xfId="0" applyNumberFormat="1" applyFont="1" applyFill="1" applyBorder="1"/>
    <x:xf numFmtId="0" fontId="5" fillId="10" borderId="8" xfId="0" applyNumberFormat="1" applyFont="1" applyFill="1" applyBorder="1"/>
    <x:xf numFmtId="0" fontId="5" fillId="10" borderId="9" xfId="0" applyNumberFormat="1" applyFont="1" applyFill="1" applyBorder="1"/>
    <x:xf numFmtId="0" fontId="5" fillId="10" borderId="10" xfId="0" applyNumberFormat="1" applyFont="1" applyFill="1" applyBorder="1"/>
    <x:xf numFmtId="0" fontId="5" fillId="10" borderId="3" xfId="0" applyNumberFormat="1" applyFont="1" applyFill="1" applyBorder="1" applyAlignment="1">
      <x:alignment wrapText="1"/>
    </x:xf>
    <x:xf numFmtId="0" fontId="5" fillId="10" borderId="4" xfId="0" applyNumberFormat="1" applyFont="1" applyFill="1" applyBorder="1" applyAlignment="1">
      <x:alignment wrapText="1"/>
    </x:xf>
    <x:xf numFmtId="0" fontId="5" fillId="10" borderId="5" xfId="0" applyNumberFormat="1" applyFont="1" applyFill="1" applyBorder="1" applyAlignment="1">
      <x:alignment wrapText="1"/>
    </x:xf>
    <x:xf numFmtId="0" fontId="5" fillId="10" borderId="6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wrapText="1"/>
    </x:xf>
    <x:xf numFmtId="0" fontId="5" fillId="10" borderId="8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wrapText="1"/>
    </x:xf>
    <x:xf numFmtId="0" fontId="5" fillId="10" borderId="10" xfId="0" applyNumberFormat="1" applyFont="1" applyFill="1" applyBorder="1" applyAlignment="1">
      <x:alignment wrapText="1"/>
    </x:xf>
    <x:xf numFmtId="0" fontId="5" fillId="10" borderId="3" xfId="0" applyNumberFormat="1" applyFont="1" applyFill="1" applyBorder="1" applyAlignment="1">
      <x:alignment horizontal="center" wrapText="1"/>
    </x:xf>
    <x:xf numFmtId="0" fontId="5" fillId="10" borderId="4" xfId="0" applyNumberFormat="1" applyFont="1" applyFill="1" applyBorder="1" applyAlignment="1">
      <x:alignment horizontal="center" wrapText="1"/>
    </x:xf>
    <x:xf numFmtId="0" fontId="5" fillId="10" borderId="5" xfId="0" applyNumberFormat="1" applyFont="1" applyFill="1" applyBorder="1" applyAlignment="1">
      <x:alignment horizontal="center" wrapText="1"/>
    </x:xf>
    <x:xf numFmtId="0" fontId="5" fillId="10" borderId="6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7" xfId="0" applyNumberFormat="1" applyFont="1" applyFill="1" applyBorder="1" applyAlignment="1">
      <x:alignment horizontal="center" wrapText="1"/>
    </x:xf>
    <x:xf numFmtId="0" fontId="5" fillId="10" borderId="8" xfId="0" applyNumberFormat="1" applyFont="1" applyFill="1" applyBorder="1" applyAlignment="1">
      <x:alignment horizontal="center" wrapText="1"/>
    </x:xf>
    <x:xf numFmtId="0" fontId="5" fillId="10" borderId="9" xfId="0" applyNumberFormat="1" applyFont="1" applyFill="1" applyBorder="1" applyAlignment="1">
      <x:alignment horizontal="center" wrapText="1"/>
    </x:xf>
    <x:xf numFmtId="0" fontId="5" fillId="10" borderId="10" xfId="0" applyNumberFormat="1" applyFont="1" applyFill="1" applyBorder="1" applyAlignment="1">
      <x:alignment horizont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5" fillId="10" borderId="5" xfId="0" applyNumberFormat="1" applyFont="1" applyFill="1" applyBorder="1" applyAlignment="1">
      <x:alignment horizontal="center" vertical="center" wrapText="1"/>
    </x:xf>
    <x:xf numFmtId="0" fontId="5" fillId="10" borderId="6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5" fillId="10" borderId="7" xfId="0" applyNumberFormat="1" applyFont="1" applyFill="1" applyBorder="1" applyAlignment="1">
      <x:alignment horizontal="center" vertical="center" wrapText="1"/>
    </x:xf>
    <x:xf numFmtId="0" fontId="5" fillId="10" borderId="8" xfId="0" applyNumberFormat="1" applyFont="1" applyFill="1" applyBorder="1" applyAlignment="1">
      <x:alignment horizontal="center" vertical="center" wrapText="1"/>
    </x:xf>
    <x:xf numFmtId="0" fontId="5" fillId="10" borderId="9" xfId="0" applyNumberFormat="1" applyFont="1" applyFill="1" applyBorder="1" applyAlignment="1">
      <x:alignment horizontal="center" vertical="center" wrapText="1"/>
    </x:xf>
    <x:xf numFmtId="0" fontId="5" fillId="10" borderId="1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3" xfId="0" applyNumberFormat="1" applyFont="1" applyFill="1" applyBorder="1"/>
    <x:xf numFmtId="0" fontId="5" fillId="11" borderId="4" xfId="0" applyNumberFormat="1" applyFont="1" applyFill="1" applyBorder="1"/>
    <x:xf numFmtId="0" fontId="5" fillId="11" borderId="5" xfId="0" applyNumberFormat="1" applyFont="1" applyFill="1" applyBorder="1"/>
    <x:xf numFmtId="0" fontId="5" fillId="11" borderId="6" xfId="0" applyNumberFormat="1" applyFont="1" applyFill="1" applyBorder="1"/>
    <x:xf numFmtId="0" fontId="5" fillId="11" borderId="7" xfId="0" applyNumberFormat="1" applyFont="1" applyFill="1" applyBorder="1"/>
    <x:xf numFmtId="0" fontId="5" fillId="11" borderId="8" xfId="0" applyNumberFormat="1" applyFont="1" applyFill="1" applyBorder="1"/>
    <x:xf numFmtId="0" fontId="5" fillId="11" borderId="9" xfId="0" applyNumberFormat="1" applyFont="1" applyFill="1" applyBorder="1"/>
    <x:xf numFmtId="0" fontId="5" fillId="11" borderId="10" xfId="0" applyNumberFormat="1" applyFont="1" applyFill="1" applyBorder="1"/>
    <x:xf numFmtId="0" fontId="5" fillId="11" borderId="3" xfId="0" applyNumberFormat="1" applyFont="1" applyFill="1" applyBorder="1" applyAlignment="1">
      <x:alignment wrapText="1"/>
    </x:xf>
    <x:xf numFmtId="0" fontId="5" fillId="11" borderId="4" xfId="0" applyNumberFormat="1" applyFont="1" applyFill="1" applyBorder="1" applyAlignment="1">
      <x:alignment wrapText="1"/>
    </x:xf>
    <x:xf numFmtId="0" fontId="5" fillId="11" borderId="5" xfId="0" applyNumberFormat="1" applyFont="1" applyFill="1" applyBorder="1" applyAlignment="1">
      <x:alignment wrapText="1"/>
    </x:xf>
    <x:xf numFmtId="0" fontId="5" fillId="11" borderId="6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5" fillId="11" borderId="7" xfId="0" applyNumberFormat="1" applyFont="1" applyFill="1" applyBorder="1" applyAlignment="1">
      <x:alignment wrapText="1"/>
    </x:xf>
    <x:xf numFmtId="0" fontId="5" fillId="11" borderId="8" xfId="0" applyNumberFormat="1" applyFont="1" applyFill="1" applyBorder="1" applyAlignment="1">
      <x:alignment wrapText="1"/>
    </x:xf>
    <x:xf numFmtId="0" fontId="5" fillId="11" borderId="9" xfId="0" applyNumberFormat="1" applyFont="1" applyFill="1" applyBorder="1" applyAlignment="1">
      <x:alignment wrapText="1"/>
    </x:xf>
    <x:xf numFmtId="0" fontId="5" fillId="11" borderId="10" xfId="0" applyNumberFormat="1" applyFont="1" applyFill="1" applyBorder="1" applyAlignment="1">
      <x:alignment wrapText="1"/>
    </x:xf>
    <x:xf numFmtId="0" fontId="5" fillId="11" borderId="3" xfId="0" applyNumberFormat="1" applyFont="1" applyFill="1" applyBorder="1" applyAlignment="1">
      <x:alignment horizontal="center" wrapText="1"/>
    </x:xf>
    <x:xf numFmtId="0" fontId="5" fillId="11" borderId="4" xfId="0" applyNumberFormat="1" applyFont="1" applyFill="1" applyBorder="1" applyAlignment="1">
      <x:alignment horizontal="center" wrapText="1"/>
    </x:xf>
    <x:xf numFmtId="0" fontId="5" fillId="11" borderId="5" xfId="0" applyNumberFormat="1" applyFont="1" applyFill="1" applyBorder="1" applyAlignment="1">
      <x:alignment horizontal="center" wrapText="1"/>
    </x:xf>
    <x:xf numFmtId="0" fontId="5" fillId="11" borderId="6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7" xfId="0" applyNumberFormat="1" applyFont="1" applyFill="1" applyBorder="1" applyAlignment="1">
      <x:alignment horizontal="center" wrapText="1"/>
    </x:xf>
    <x:xf numFmtId="0" fontId="5" fillId="11" borderId="8" xfId="0" applyNumberFormat="1" applyFont="1" applyFill="1" applyBorder="1" applyAlignment="1">
      <x:alignment horizontal="center" wrapText="1"/>
    </x:xf>
    <x:xf numFmtId="0" fontId="5" fillId="11" borderId="9" xfId="0" applyNumberFormat="1" applyFont="1" applyFill="1" applyBorder="1" applyAlignment="1">
      <x:alignment horizontal="center" wrapText="1"/>
    </x:xf>
    <x:xf numFmtId="0" fontId="5" fillId="11" borderId="10" xfId="0" applyNumberFormat="1" applyFont="1" applyFill="1" applyBorder="1" applyAlignment="1">
      <x:alignment horizontal="center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5" fillId="11" borderId="5" xfId="0" applyNumberFormat="1" applyFont="1" applyFill="1" applyBorder="1" applyAlignment="1">
      <x:alignment horizontal="center" vertical="center" wrapText="1"/>
    </x:xf>
    <x:xf numFmtId="0" fontId="5" fillId="11" borderId="6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5" fillId="11" borderId="7" xfId="0" applyNumberFormat="1" applyFont="1" applyFill="1" applyBorder="1" applyAlignment="1">
      <x:alignment horizontal="center" vertical="center" wrapText="1"/>
    </x:xf>
    <x:xf numFmtId="0" fontId="5" fillId="11" borderId="8" xfId="0" applyNumberFormat="1" applyFont="1" applyFill="1" applyBorder="1" applyAlignment="1">
      <x:alignment horizontal="center" vertical="center" wrapText="1"/>
    </x:xf>
    <x:xf numFmtId="0" fontId="5" fillId="11" borderId="9" xfId="0" applyNumberFormat="1" applyFont="1" applyFill="1" applyBorder="1" applyAlignment="1">
      <x:alignment horizontal="center" vertical="center" wrapText="1"/>
    </x:xf>
    <x:xf numFmtId="0" fontId="5" fillId="11" borderId="1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2" borderId="5" xfId="0" applyNumberFormat="1" applyFont="1" applyFill="1" applyBorder="1"/>
    <x:xf numFmtId="0" fontId="7" fillId="2" borderId="8" xfId="0" applyNumberFormat="1" applyFont="1" applyFill="1" applyBorder="1"/>
    <x:xf numFmtId="0" fontId="7" fillId="2" borderId="9" xfId="0" applyNumberFormat="1" applyFont="1" applyFill="1" applyBorder="1"/>
    <x:xf numFmtId="0" fontId="7" fillId="2" borderId="10" xfId="0" applyNumberFormat="1" applyFont="1" applyFill="1" applyBorder="1"/>
    <x:xf numFmtId="0" fontId="7" fillId="2" borderId="3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wrapText="1"/>
    </x:xf>
    <x:xf numFmtId="0" fontId="7" fillId="2" borderId="8" xfId="0" applyNumberFormat="1" applyFont="1" applyFill="1" applyBorder="1" applyAlignment="1">
      <x:alignment wrapText="1"/>
    </x:xf>
    <x:xf numFmtId="0" fontId="7" fillId="2" borderId="9" xfId="0" applyNumberFormat="1" applyFont="1" applyFill="1" applyBorder="1" applyAlignment="1">
      <x:alignment wrapText="1"/>
    </x:xf>
    <x:xf numFmtId="0" fontId="7" fillId="2" borderId="10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5" xfId="0" applyNumberFormat="1" applyFont="1" applyFill="1" applyBorder="1" applyAlignment="1">
      <x:alignment horizontal="center" wrapText="1"/>
    </x:xf>
    <x:xf numFmtId="0" fontId="7" fillId="2" borderId="8" xfId="0" applyNumberFormat="1" applyFont="1" applyFill="1" applyBorder="1" applyAlignment="1">
      <x:alignment horizontal="center" wrapText="1"/>
    </x:xf>
    <x:xf numFmtId="0" fontId="7" fillId="2" borderId="9" xfId="0" applyNumberFormat="1" applyFont="1" applyFill="1" applyBorder="1" applyAlignment="1">
      <x:alignment horizontal="center" wrapText="1"/>
    </x:xf>
    <x:xf numFmtId="0" fontId="7" fillId="2" borderId="10" xfId="0" applyNumberFormat="1" applyFont="1" applyFill="1" applyBorder="1" applyAlignment="1">
      <x:alignment horizont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7" fillId="2" borderId="5" xfId="0" applyNumberFormat="1" applyFont="1" applyFill="1" applyBorder="1" applyAlignment="1">
      <x:alignment horizontal="center" vertical="center" wrapText="1"/>
    </x:xf>
    <x:xf numFmtId="0" fontId="7" fillId="2" borderId="8" xfId="0" applyNumberFormat="1" applyFont="1" applyFill="1" applyBorder="1" applyAlignment="1">
      <x:alignment horizontal="center" vertical="center" wrapText="1"/>
    </x:xf>
    <x:xf numFmtId="0" fontId="7" fillId="2" borderId="9" xfId="0" applyNumberFormat="1" applyFont="1" applyFill="1" applyBorder="1" applyAlignment="1">
      <x:alignment horizontal="center" vertical="center" wrapText="1"/>
    </x:xf>
    <x:xf numFmtId="0" fontId="7" fillId="2" borderId="1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3" xfId="0" applyNumberFormat="1" applyFont="1" applyFill="1" applyBorder="1"/>
    <x:xf numFmtId="0" fontId="1" fillId="12" borderId="4" xfId="0" applyNumberFormat="1" applyFont="1" applyFill="1" applyBorder="1"/>
    <x:xf numFmtId="0" fontId="1" fillId="12" borderId="5" xfId="0" applyNumberFormat="1" applyFont="1" applyFill="1" applyBorder="1"/>
    <x:xf numFmtId="0" fontId="1" fillId="12" borderId="6" xfId="0" applyNumberFormat="1" applyFont="1" applyFill="1" applyBorder="1"/>
    <x:xf numFmtId="0" fontId="1" fillId="12" borderId="7" xfId="0" applyNumberFormat="1" applyFont="1" applyFill="1" applyBorder="1"/>
    <x:xf numFmtId="0" fontId="1" fillId="12" borderId="8" xfId="0" applyNumberFormat="1" applyFont="1" applyFill="1" applyBorder="1"/>
    <x:xf numFmtId="0" fontId="1" fillId="12" borderId="9" xfId="0" applyNumberFormat="1" applyFont="1" applyFill="1" applyBorder="1"/>
    <x:xf numFmtId="0" fontId="1" fillId="12" borderId="10" xfId="0" applyNumberFormat="1" applyFont="1" applyFill="1" applyBorder="1"/>
    <x:xf numFmtId="0" fontId="1" fillId="12" borderId="3" xfId="0" applyNumberFormat="1" applyFont="1" applyFill="1" applyBorder="1" applyAlignment="1">
      <x:alignment wrapText="1"/>
    </x:xf>
    <x:xf numFmtId="0" fontId="1" fillId="12" borderId="4" xfId="0" applyNumberFormat="1" applyFont="1" applyFill="1" applyBorder="1" applyAlignment="1">
      <x:alignment wrapText="1"/>
    </x:xf>
    <x:xf numFmtId="0" fontId="1" fillId="12" borderId="5" xfId="0" applyNumberFormat="1" applyFont="1" applyFill="1" applyBorder="1" applyAlignment="1">
      <x:alignment wrapText="1"/>
    </x:xf>
    <x:xf numFmtId="0" fontId="1" fillId="12" borderId="6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wrapText="1"/>
    </x:xf>
    <x:xf numFmtId="0" fontId="1" fillId="12" borderId="7" xfId="0" applyNumberFormat="1" applyFont="1" applyFill="1" applyBorder="1" applyAlignment="1">
      <x:alignment wrapText="1"/>
    </x:xf>
    <x:xf numFmtId="0" fontId="1" fillId="12" borderId="8" xfId="0" applyNumberFormat="1" applyFont="1" applyFill="1" applyBorder="1" applyAlignment="1">
      <x:alignment wrapText="1"/>
    </x:xf>
    <x:xf numFmtId="0" fontId="1" fillId="12" borderId="9" xfId="0" applyNumberFormat="1" applyFont="1" applyFill="1" applyBorder="1" applyAlignment="1">
      <x:alignment wrapText="1"/>
    </x:xf>
    <x:xf numFmtId="0" fontId="1" fillId="12" borderId="10" xfId="0" applyNumberFormat="1" applyFont="1" applyFill="1" applyBorder="1" applyAlignment="1">
      <x:alignment wrapText="1"/>
    </x:xf>
    <x:xf numFmtId="0" fontId="1" fillId="12" borderId="3" xfId="0" applyNumberFormat="1" applyFont="1" applyFill="1" applyBorder="1" applyAlignment="1">
      <x:alignment horizontal="center" wrapText="1"/>
    </x:xf>
    <x:xf numFmtId="0" fontId="1" fillId="12" borderId="4" xfId="0" applyNumberFormat="1" applyFont="1" applyFill="1" applyBorder="1" applyAlignment="1">
      <x:alignment horizontal="center" wrapText="1"/>
    </x:xf>
    <x:xf numFmtId="0" fontId="1" fillId="12" borderId="5" xfId="0" applyNumberFormat="1" applyFont="1" applyFill="1" applyBorder="1" applyAlignment="1">
      <x:alignment horizontal="center" wrapText="1"/>
    </x:xf>
    <x:xf numFmtId="0" fontId="1" fillId="12" borderId="6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7" xfId="0" applyNumberFormat="1" applyFont="1" applyFill="1" applyBorder="1" applyAlignment="1">
      <x:alignment horizontal="center" wrapText="1"/>
    </x:xf>
    <x:xf numFmtId="0" fontId="1" fillId="12" borderId="8" xfId="0" applyNumberFormat="1" applyFont="1" applyFill="1" applyBorder="1" applyAlignment="1">
      <x:alignment horizontal="center" wrapText="1"/>
    </x:xf>
    <x:xf numFmtId="0" fontId="1" fillId="12" borderId="9" xfId="0" applyNumberFormat="1" applyFont="1" applyFill="1" applyBorder="1" applyAlignment="1">
      <x:alignment horizontal="center" wrapText="1"/>
    </x:xf>
    <x:xf numFmtId="0" fontId="1" fillId="12" borderId="10" xfId="0" applyNumberFormat="1" applyFont="1" applyFill="1" applyBorder="1" applyAlignment="1">
      <x:alignment horizontal="center" wrapText="1"/>
    </x:xf>
    <x:xf numFmtId="0" fontId="1" fillId="12" borderId="3" xfId="0" applyNumberFormat="1" applyFont="1" applyFill="1" applyBorder="1" applyAlignment="1">
      <x:alignment horizontal="center" vertical="center" wrapText="1"/>
    </x:xf>
    <x:xf numFmtId="0" fontId="1" fillId="12" borderId="4" xfId="0" applyNumberFormat="1" applyFont="1" applyFill="1" applyBorder="1" applyAlignment="1">
      <x:alignment horizontal="center" vertical="center" wrapText="1"/>
    </x:xf>
    <x:xf numFmtId="0" fontId="1" fillId="12" borderId="5" xfId="0" applyNumberFormat="1" applyFont="1" applyFill="1" applyBorder="1" applyAlignment="1">
      <x:alignment horizontal="center" vertical="center" wrapText="1"/>
    </x:xf>
    <x:xf numFmtId="0" fontId="1" fillId="12" borderId="6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7" xfId="0" applyNumberFormat="1" applyFont="1" applyFill="1" applyBorder="1" applyAlignment="1">
      <x:alignment horizontal="center" vertical="center" wrapText="1"/>
    </x:xf>
    <x:xf numFmtId="0" fontId="1" fillId="12" borderId="8" xfId="0" applyNumberFormat="1" applyFont="1" applyFill="1" applyBorder="1" applyAlignment="1">
      <x:alignment horizontal="center" vertical="center" wrapText="1"/>
    </x:xf>
    <x:xf numFmtId="0" fontId="1" fillId="12" borderId="9" xfId="0" applyNumberFormat="1" applyFont="1" applyFill="1" applyBorder="1" applyAlignment="1">
      <x:alignment horizontal="center" vertical="center" wrapText="1"/>
    </x:xf>
    <x:xf numFmtId="0" fontId="1" fillId="12" borderId="1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3" xfId="0" applyNumberFormat="1" applyFont="1" applyFill="1" applyBorder="1"/>
    <x:xf numFmtId="0" fontId="1" fillId="13" borderId="4" xfId="0" applyNumberFormat="1" applyFont="1" applyFill="1" applyBorder="1"/>
    <x:xf numFmtId="0" fontId="1" fillId="13" borderId="5" xfId="0" applyNumberFormat="1" applyFont="1" applyFill="1" applyBorder="1"/>
    <x:xf numFmtId="0" fontId="1" fillId="13" borderId="6" xfId="0" applyNumberFormat="1" applyFont="1" applyFill="1" applyBorder="1"/>
    <x:xf numFmtId="0" fontId="1" fillId="13" borderId="7" xfId="0" applyNumberFormat="1" applyFont="1" applyFill="1" applyBorder="1"/>
    <x:xf numFmtId="0" fontId="1" fillId="13" borderId="8" xfId="0" applyNumberFormat="1" applyFont="1" applyFill="1" applyBorder="1"/>
    <x:xf numFmtId="0" fontId="1" fillId="13" borderId="9" xfId="0" applyNumberFormat="1" applyFont="1" applyFill="1" applyBorder="1"/>
    <x:xf numFmtId="0" fontId="1" fillId="13" borderId="10" xfId="0" applyNumberFormat="1" applyFont="1" applyFill="1" applyBorder="1"/>
    <x:xf numFmtId="0" fontId="1" fillId="13" borderId="3" xfId="0" applyNumberFormat="1" applyFont="1" applyFill="1" applyBorder="1" applyAlignment="1">
      <x:alignment wrapText="1"/>
    </x:xf>
    <x:xf numFmtId="0" fontId="1" fillId="13" borderId="4" xfId="0" applyNumberFormat="1" applyFont="1" applyFill="1" applyBorder="1" applyAlignment="1">
      <x:alignment wrapText="1"/>
    </x:xf>
    <x:xf numFmtId="0" fontId="1" fillId="13" borderId="5" xfId="0" applyNumberFormat="1" applyFont="1" applyFill="1" applyBorder="1" applyAlignment="1">
      <x:alignment wrapText="1"/>
    </x:xf>
    <x:xf numFmtId="0" fontId="1" fillId="13" borderId="6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wrapText="1"/>
    </x:xf>
    <x:xf numFmtId="0" fontId="1" fillId="13" borderId="7" xfId="0" applyNumberFormat="1" applyFont="1" applyFill="1" applyBorder="1" applyAlignment="1">
      <x:alignment wrapText="1"/>
    </x:xf>
    <x:xf numFmtId="0" fontId="1" fillId="13" borderId="8" xfId="0" applyNumberFormat="1" applyFont="1" applyFill="1" applyBorder="1" applyAlignment="1">
      <x:alignment wrapText="1"/>
    </x:xf>
    <x:xf numFmtId="0" fontId="1" fillId="13" borderId="9" xfId="0" applyNumberFormat="1" applyFont="1" applyFill="1" applyBorder="1" applyAlignment="1">
      <x:alignment wrapText="1"/>
    </x:xf>
    <x:xf numFmtId="0" fontId="1" fillId="13" borderId="10" xfId="0" applyNumberFormat="1" applyFont="1" applyFill="1" applyBorder="1" applyAlignment="1">
      <x:alignment wrapText="1"/>
    </x:xf>
    <x:xf numFmtId="0" fontId="1" fillId="13" borderId="3" xfId="0" applyNumberFormat="1" applyFont="1" applyFill="1" applyBorder="1" applyAlignment="1">
      <x:alignment horizontal="center" wrapText="1"/>
    </x:xf>
    <x:xf numFmtId="0" fontId="1" fillId="13" borderId="4" xfId="0" applyNumberFormat="1" applyFont="1" applyFill="1" applyBorder="1" applyAlignment="1">
      <x:alignment horizontal="center" wrapText="1"/>
    </x:xf>
    <x:xf numFmtId="0" fontId="1" fillId="13" borderId="5" xfId="0" applyNumberFormat="1" applyFont="1" applyFill="1" applyBorder="1" applyAlignment="1">
      <x:alignment horizontal="center" wrapText="1"/>
    </x:xf>
    <x:xf numFmtId="0" fontId="1" fillId="13" borderId="6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7" xfId="0" applyNumberFormat="1" applyFont="1" applyFill="1" applyBorder="1" applyAlignment="1">
      <x:alignment horizontal="center" wrapText="1"/>
    </x:xf>
    <x:xf numFmtId="0" fontId="1" fillId="13" borderId="8" xfId="0" applyNumberFormat="1" applyFont="1" applyFill="1" applyBorder="1" applyAlignment="1">
      <x:alignment horizontal="center" wrapText="1"/>
    </x:xf>
    <x:xf numFmtId="0" fontId="1" fillId="13" borderId="9" xfId="0" applyNumberFormat="1" applyFont="1" applyFill="1" applyBorder="1" applyAlignment="1">
      <x:alignment horizontal="center" wrapText="1"/>
    </x:xf>
    <x:xf numFmtId="0" fontId="1" fillId="13" borderId="10" xfId="0" applyNumberFormat="1" applyFont="1" applyFill="1" applyBorder="1" applyAlignment="1">
      <x:alignment horizontal="center" wrapText="1"/>
    </x:xf>
    <x:xf numFmtId="0" fontId="1" fillId="13" borderId="3" xfId="0" applyNumberFormat="1" applyFont="1" applyFill="1" applyBorder="1" applyAlignment="1">
      <x:alignment horizontal="center" vertical="center" wrapText="1"/>
    </x:xf>
    <x:xf numFmtId="0" fontId="1" fillId="13" borderId="4" xfId="0" applyNumberFormat="1" applyFont="1" applyFill="1" applyBorder="1" applyAlignment="1">
      <x:alignment horizontal="center" vertical="center" wrapText="1"/>
    </x:xf>
    <x:xf numFmtId="0" fontId="1" fillId="13" borderId="5" xfId="0" applyNumberFormat="1" applyFont="1" applyFill="1" applyBorder="1" applyAlignment="1">
      <x:alignment horizontal="center" vertical="center" wrapText="1"/>
    </x:xf>
    <x:xf numFmtId="0" fontId="1" fillId="13" borderId="6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7" xfId="0" applyNumberFormat="1" applyFont="1" applyFill="1" applyBorder="1" applyAlignment="1">
      <x:alignment horizontal="center" vertical="center" wrapText="1"/>
    </x:xf>
    <x:xf numFmtId="0" fontId="1" fillId="13" borderId="8" xfId="0" applyNumberFormat="1" applyFont="1" applyFill="1" applyBorder="1" applyAlignment="1">
      <x:alignment horizontal="center" vertical="center" wrapText="1"/>
    </x:xf>
    <x:xf numFmtId="0" fontId="1" fillId="13" borderId="9" xfId="0" applyNumberFormat="1" applyFont="1" applyFill="1" applyBorder="1" applyAlignment="1">
      <x:alignment horizontal="center" vertical="center" wrapText="1"/>
    </x:xf>
    <x:xf numFmtId="0" fontId="1" fillId="13" borderId="10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3" xfId="0" applyNumberFormat="1" applyFont="1" applyFill="1" applyBorder="1"/>
    <x:xf numFmtId="0" fontId="5" fillId="14" borderId="4" xfId="0" applyNumberFormat="1" applyFont="1" applyFill="1" applyBorder="1"/>
    <x:xf numFmtId="0" fontId="5" fillId="14" borderId="5" xfId="0" applyNumberFormat="1" applyFont="1" applyFill="1" applyBorder="1"/>
    <x:xf numFmtId="0" fontId="5" fillId="14" borderId="6" xfId="0" applyNumberFormat="1" applyFont="1" applyFill="1" applyBorder="1"/>
    <x:xf numFmtId="0" fontId="5" fillId="14" borderId="7" xfId="0" applyNumberFormat="1" applyFont="1" applyFill="1" applyBorder="1"/>
    <x:xf numFmtId="0" fontId="5" fillId="14" borderId="8" xfId="0" applyNumberFormat="1" applyFont="1" applyFill="1" applyBorder="1"/>
    <x:xf numFmtId="0" fontId="5" fillId="14" borderId="9" xfId="0" applyNumberFormat="1" applyFont="1" applyFill="1" applyBorder="1"/>
    <x:xf numFmtId="0" fontId="5" fillId="14" borderId="10" xfId="0" applyNumberFormat="1" applyFont="1" applyFill="1" applyBorder="1"/>
    <x:xf numFmtId="0" fontId="5" fillId="14" borderId="3" xfId="0" applyNumberFormat="1" applyFont="1" applyFill="1" applyBorder="1" applyAlignment="1">
      <x:alignment wrapText="1"/>
    </x:xf>
    <x:xf numFmtId="0" fontId="5" fillId="14" borderId="4" xfId="0" applyNumberFormat="1" applyFont="1" applyFill="1" applyBorder="1" applyAlignment="1">
      <x:alignment wrapText="1"/>
    </x:xf>
    <x:xf numFmtId="0" fontId="5" fillId="14" borderId="5" xfId="0" applyNumberFormat="1" applyFont="1" applyFill="1" applyBorder="1" applyAlignment="1">
      <x:alignment wrapText="1"/>
    </x:xf>
    <x:xf numFmtId="0" fontId="5" fillId="14" borderId="6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wrapText="1"/>
    </x:xf>
    <x:xf numFmtId="0" fontId="5" fillId="14" borderId="7" xfId="0" applyNumberFormat="1" applyFont="1" applyFill="1" applyBorder="1" applyAlignment="1">
      <x:alignment wrapText="1"/>
    </x:xf>
    <x:xf numFmtId="0" fontId="5" fillId="14" borderId="8" xfId="0" applyNumberFormat="1" applyFont="1" applyFill="1" applyBorder="1" applyAlignment="1">
      <x:alignment wrapText="1"/>
    </x:xf>
    <x:xf numFmtId="0" fontId="5" fillId="14" borderId="9" xfId="0" applyNumberFormat="1" applyFont="1" applyFill="1" applyBorder="1" applyAlignment="1">
      <x:alignment wrapText="1"/>
    </x:xf>
    <x:xf numFmtId="0" fontId="5" fillId="14" borderId="10" xfId="0" applyNumberFormat="1" applyFont="1" applyFill="1" applyBorder="1" applyAlignment="1">
      <x:alignment wrapText="1"/>
    </x:xf>
    <x:xf numFmtId="0" fontId="5" fillId="14" borderId="3" xfId="0" applyNumberFormat="1" applyFont="1" applyFill="1" applyBorder="1" applyAlignment="1">
      <x:alignment horizontal="center" wrapText="1"/>
    </x:xf>
    <x:xf numFmtId="0" fontId="5" fillId="14" borderId="4" xfId="0" applyNumberFormat="1" applyFont="1" applyFill="1" applyBorder="1" applyAlignment="1">
      <x:alignment horizontal="center" wrapText="1"/>
    </x:xf>
    <x:xf numFmtId="0" fontId="5" fillId="14" borderId="5" xfId="0" applyNumberFormat="1" applyFont="1" applyFill="1" applyBorder="1" applyAlignment="1">
      <x:alignment horizontal="center" wrapText="1"/>
    </x:xf>
    <x:xf numFmtId="0" fontId="5" fillId="14" borderId="6" xfId="0" applyNumberFormat="1" applyFont="1" applyFill="1" applyBorder="1" applyAlignment="1">
      <x:alignment horizontal="center" wrapText="1"/>
    </x:xf>
    <x:xf numFmtId="0" fontId="5" fillId="14" borderId="0" xfId="0" applyNumberFormat="1" applyFont="1" applyFill="1" applyBorder="1" applyAlignment="1">
      <x:alignment horizontal="center" wrapText="1"/>
    </x:xf>
    <x:xf numFmtId="0" fontId="5" fillId="14" borderId="7" xfId="0" applyNumberFormat="1" applyFont="1" applyFill="1" applyBorder="1" applyAlignment="1">
      <x:alignment horizontal="center" wrapText="1"/>
    </x:xf>
    <x:xf numFmtId="0" fontId="5" fillId="14" borderId="8" xfId="0" applyNumberFormat="1" applyFont="1" applyFill="1" applyBorder="1" applyAlignment="1">
      <x:alignment horizontal="center" wrapText="1"/>
    </x:xf>
    <x:xf numFmtId="0" fontId="5" fillId="14" borderId="9" xfId="0" applyNumberFormat="1" applyFont="1" applyFill="1" applyBorder="1" applyAlignment="1">
      <x:alignment horizontal="center" wrapText="1"/>
    </x:xf>
    <x:xf numFmtId="0" fontId="5" fillId="14" borderId="10" xfId="0" applyNumberFormat="1" applyFont="1" applyFill="1" applyBorder="1" applyAlignment="1">
      <x:alignment horizontal="center" wrapText="1"/>
    </x:xf>
    <x:xf numFmtId="0" fontId="5" fillId="14" borderId="3" xfId="0" applyNumberFormat="1" applyFont="1" applyFill="1" applyBorder="1" applyAlignment="1">
      <x:alignment horizontal="center" vertical="center" wrapText="1"/>
    </x:xf>
    <x:xf numFmtId="0" fontId="5" fillId="14" borderId="4" xfId="0" applyNumberFormat="1" applyFont="1" applyFill="1" applyBorder="1" applyAlignment="1">
      <x:alignment horizontal="center" vertical="center" wrapText="1"/>
    </x:xf>
    <x:xf numFmtId="0" fontId="5" fillId="14" borderId="5" xfId="0" applyNumberFormat="1" applyFont="1" applyFill="1" applyBorder="1" applyAlignment="1">
      <x:alignment horizontal="center" vertical="center" wrapText="1"/>
    </x:xf>
    <x:xf numFmtId="0" fontId="5" fillId="14" borderId="6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5" fillId="14" borderId="7" xfId="0" applyNumberFormat="1" applyFont="1" applyFill="1" applyBorder="1" applyAlignment="1">
      <x:alignment horizontal="center" vertical="center" wrapText="1"/>
    </x:xf>
    <x:xf numFmtId="0" fontId="5" fillId="14" borderId="8" xfId="0" applyNumberFormat="1" applyFont="1" applyFill="1" applyBorder="1" applyAlignment="1">
      <x:alignment horizontal="center" vertical="center" wrapText="1"/>
    </x:xf>
    <x:xf numFmtId="0" fontId="5" fillId="14" borderId="9" xfId="0" applyNumberFormat="1" applyFont="1" applyFill="1" applyBorder="1" applyAlignment="1">
      <x:alignment horizontal="center" vertical="center" wrapText="1"/>
    </x:xf>
    <x:xf numFmtId="0" fontId="5" fillId="14" borderId="1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3" xfId="0" applyNumberFormat="1" applyFont="1" applyFill="1" applyBorder="1"/>
    <x:xf numFmtId="0" fontId="5" fillId="15" borderId="4" xfId="0" applyNumberFormat="1" applyFont="1" applyFill="1" applyBorder="1"/>
    <x:xf numFmtId="0" fontId="5" fillId="15" borderId="5" xfId="0" applyNumberFormat="1" applyFont="1" applyFill="1" applyBorder="1"/>
    <x:xf numFmtId="0" fontId="5" fillId="15" borderId="6" xfId="0" applyNumberFormat="1" applyFont="1" applyFill="1" applyBorder="1"/>
    <x:xf numFmtId="0" fontId="5" fillId="15" borderId="7" xfId="0" applyNumberFormat="1" applyFont="1" applyFill="1" applyBorder="1"/>
    <x:xf numFmtId="0" fontId="5" fillId="15" borderId="8" xfId="0" applyNumberFormat="1" applyFont="1" applyFill="1" applyBorder="1"/>
    <x:xf numFmtId="0" fontId="5" fillId="15" borderId="9" xfId="0" applyNumberFormat="1" applyFont="1" applyFill="1" applyBorder="1"/>
    <x:xf numFmtId="0" fontId="5" fillId="15" borderId="10" xfId="0" applyNumberFormat="1" applyFont="1" applyFill="1" applyBorder="1"/>
    <x:xf numFmtId="0" fontId="5" fillId="15" borderId="3" xfId="0" applyNumberFormat="1" applyFont="1" applyFill="1" applyBorder="1" applyAlignment="1">
      <x:alignment wrapText="1"/>
    </x:xf>
    <x:xf numFmtId="0" fontId="5" fillId="15" borderId="4" xfId="0" applyNumberFormat="1" applyFont="1" applyFill="1" applyBorder="1" applyAlignment="1">
      <x:alignment wrapText="1"/>
    </x:xf>
    <x:xf numFmtId="0" fontId="5" fillId="15" borderId="5" xfId="0" applyNumberFormat="1" applyFont="1" applyFill="1" applyBorder="1" applyAlignment="1">
      <x:alignment wrapText="1"/>
    </x:xf>
    <x:xf numFmtId="0" fontId="5" fillId="15" borderId="6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7" xfId="0" applyNumberFormat="1" applyFont="1" applyFill="1" applyBorder="1" applyAlignment="1">
      <x:alignment wrapText="1"/>
    </x:xf>
    <x:xf numFmtId="0" fontId="5" fillId="15" borderId="8" xfId="0" applyNumberFormat="1" applyFont="1" applyFill="1" applyBorder="1" applyAlignment="1">
      <x:alignment wrapText="1"/>
    </x:xf>
    <x:xf numFmtId="0" fontId="5" fillId="15" borderId="9" xfId="0" applyNumberFormat="1" applyFont="1" applyFill="1" applyBorder="1" applyAlignment="1">
      <x:alignment wrapText="1"/>
    </x:xf>
    <x:xf numFmtId="0" fontId="5" fillId="15" borderId="10" xfId="0" applyNumberFormat="1" applyFont="1" applyFill="1" applyBorder="1" applyAlignment="1">
      <x:alignment wrapText="1"/>
    </x:xf>
    <x:xf numFmtId="0" fontId="5" fillId="15" borderId="3" xfId="0" applyNumberFormat="1" applyFont="1" applyFill="1" applyBorder="1" applyAlignment="1">
      <x:alignment horizontal="center" wrapText="1"/>
    </x:xf>
    <x:xf numFmtId="0" fontId="5" fillId="15" borderId="4" xfId="0" applyNumberFormat="1" applyFont="1" applyFill="1" applyBorder="1" applyAlignment="1">
      <x:alignment horizontal="center" wrapText="1"/>
    </x:xf>
    <x:xf numFmtId="0" fontId="5" fillId="15" borderId="5" xfId="0" applyNumberFormat="1" applyFont="1" applyFill="1" applyBorder="1" applyAlignment="1">
      <x:alignment horizontal="center" wrapText="1"/>
    </x:xf>
    <x:xf numFmtId="0" fontId="5" fillId="15" borderId="6" xfId="0" applyNumberFormat="1" applyFont="1" applyFill="1" applyBorder="1" applyAlignment="1">
      <x:alignment horizontal="center" wrapText="1"/>
    </x:xf>
    <x:xf numFmtId="0" fontId="5" fillId="15" borderId="0" xfId="0" applyNumberFormat="1" applyFont="1" applyFill="1" applyBorder="1" applyAlignment="1">
      <x:alignment horizontal="center" wrapText="1"/>
    </x:xf>
    <x:xf numFmtId="0" fontId="5" fillId="15" borderId="7" xfId="0" applyNumberFormat="1" applyFont="1" applyFill="1" applyBorder="1" applyAlignment="1">
      <x:alignment horizontal="center" wrapText="1"/>
    </x:xf>
    <x:xf numFmtId="0" fontId="5" fillId="15" borderId="8" xfId="0" applyNumberFormat="1" applyFont="1" applyFill="1" applyBorder="1" applyAlignment="1">
      <x:alignment horizontal="center" wrapText="1"/>
    </x:xf>
    <x:xf numFmtId="0" fontId="5" fillId="15" borderId="9" xfId="0" applyNumberFormat="1" applyFont="1" applyFill="1" applyBorder="1" applyAlignment="1">
      <x:alignment horizontal="center" wrapText="1"/>
    </x:xf>
    <x:xf numFmtId="0" fontId="5" fillId="15" borderId="10" xfId="0" applyNumberFormat="1" applyFont="1" applyFill="1" applyBorder="1" applyAlignment="1">
      <x:alignment horizont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5" fillId="15" borderId="4" xfId="0" applyNumberFormat="1" applyFont="1" applyFill="1" applyBorder="1" applyAlignment="1">
      <x:alignment horizontal="center" vertical="center" wrapText="1"/>
    </x:xf>
    <x:xf numFmtId="0" fontId="5" fillId="15" borderId="5" xfId="0" applyNumberFormat="1" applyFont="1" applyFill="1" applyBorder="1" applyAlignment="1">
      <x:alignment horizontal="center" vertical="center" wrapText="1"/>
    </x:xf>
    <x:xf numFmtId="0" fontId="5" fillId="15" borderId="6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5" fillId="15" borderId="7" xfId="0" applyNumberFormat="1" applyFont="1" applyFill="1" applyBorder="1" applyAlignment="1">
      <x:alignment horizontal="center" vertical="center" wrapText="1"/>
    </x:xf>
    <x:xf numFmtId="0" fontId="5" fillId="15" borderId="8" xfId="0" applyNumberFormat="1" applyFont="1" applyFill="1" applyBorder="1" applyAlignment="1">
      <x:alignment horizontal="center" vertical="center" wrapText="1"/>
    </x:xf>
    <x:xf numFmtId="0" fontId="5" fillId="15" borderId="9" xfId="0" applyNumberFormat="1" applyFont="1" applyFill="1" applyBorder="1" applyAlignment="1">
      <x:alignment horizontal="center" vertical="center" wrapText="1"/>
    </x:xf>
    <x:xf numFmtId="0" fontId="5" fillId="15" borderId="1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ba579908640cb" /><Relationship Type="http://schemas.openxmlformats.org/officeDocument/2006/relationships/theme" Target="/xl/theme/theme1.xml" Id="Rd98da1ec83584a3e" /><Relationship Type="http://schemas.openxmlformats.org/officeDocument/2006/relationships/sharedStrings" Target="/xl/sharedStrings.xml" Id="R3ac45351ff18425c" /><Relationship Type="http://schemas.openxmlformats.org/officeDocument/2006/relationships/worksheet" Target="/xl/worksheets/sheet1.xml" Id="R5d0feb76287f47c9" /><Relationship Type="http://schemas.openxmlformats.org/officeDocument/2006/relationships/worksheet" Target="/xl/worksheets/sheet2.xml" Id="R7869ed12fd3c4394" /><Relationship Type="http://schemas.openxmlformats.org/officeDocument/2006/relationships/worksheet" Target="/xl/worksheets/sheet3.xml" Id="R95d2932a44d1412f" /><Relationship Type="http://schemas.openxmlformats.org/officeDocument/2006/relationships/worksheet" Target="/xl/worksheets/sheet4.xml" Id="Re3a0ba523c484e68" /><Relationship Type="http://schemas.openxmlformats.org/officeDocument/2006/relationships/worksheet" Target="/xl/worksheets/sheet5.xml" Id="R859ea649ac714fe4" /><Relationship Type="http://schemas.openxmlformats.org/officeDocument/2006/relationships/worksheet" Target="/xl/worksheets/sheet6.xml" Id="R70c0456285394d6e" /><Relationship Type="http://schemas.openxmlformats.org/officeDocument/2006/relationships/worksheet" Target="/xl/worksheets/sheet7.xml" Id="R8d3d6dc380a74e3e" /><Relationship Type="http://schemas.openxmlformats.org/officeDocument/2006/relationships/worksheet" Target="/xl/worksheets/sheet8.xml" Id="R786c751f6b6046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ceacdb7ff34ed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530de8683a64ee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f0c0f5d4099446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e17a640e6014d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 b="1"/>
              <a:t>Audited BERTopic category distribution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 b="1"/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Percentage of 985 modelled items</c:v>
          </c:tx>
          <c:spPr>
            <a:solidFill xmlns:a="http://schemas.openxmlformats.org/drawingml/2006/main">
              <a:srgbClr val="5B9BD5"/>
            </a:solidFill>
          </c:spPr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75"/>
                      <a:t>30.7%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75"/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75"/>
                      <a:t>10.8%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75"/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75"/>
                      <a:t>9.2%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75"/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75"/>
                      <a:t>14.1%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75"/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75"/>
                      <a:t>35.2%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75"/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</c:dLbls>
          <c:cat>
            <c:strRef>
              <c:f>'Figure 4.1'!$Z$2:$Z$6</c:f>
              <c:strCache>
                <c:ptCount val="0"/>
              </c:strCache>
            </c:strRef>
          </c:cat>
          <c:val>
            <c:numRef>
              <c:f>'Figure 4.1'!$AA$2:$AA$6</c:f>
              <c:numCache>
                <c:formatCode>General</c:formatCode>
                <c:ptCount val="0"/>
              </c:numCache>
            </c:numRef>
          </c:val>
        </c:ser>
        <c:dLbls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675"/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7144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Percentage of all modelled text items (%)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 b="1"/>
              <a:t>Audited category distribution by source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 b="1"/>
          </a:pPr>
        </a:p>
      </c:txPr>
    </c:title>
    <c:plotArea>
      <c:barChart>
        <c:barDir val="bar"/>
        <c:grouping val="stacked"/>
        <c:varyColors val="0"/>
        <c:ser>
          <c:idx val="0"/>
          <c:order val="0"/>
          <c:tx>
            <c:v>Procedural access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'Figure 4.2'!$Z$2:$Z$4</c:f>
              <c:strCache>
                <c:ptCount val="0"/>
              </c:strCache>
            </c:strRef>
          </c:cat>
          <c:val>
            <c:numRef>
              <c:f>'Figure 4.2'!$AA$2:$AA$4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Trust and reliability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'Figure 4.2'!$Z$2:$Z$4</c:f>
              <c:strCache>
                <c:ptCount val="0"/>
              </c:strCache>
            </c:strRef>
          </c:cat>
          <c:val>
            <c:numRef>
              <c:f>'Figure 4.2'!$AB$2:$AB$4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Coverage and entitlements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'Figure 4.2'!$Z$2:$Z$4</c:f>
              <c:strCache>
                <c:ptCount val="0"/>
              </c:strCache>
            </c:strRef>
          </c:cat>
          <c:val>
            <c:numRef>
              <c:f>'Figure 4.2'!$AC$2:$AC$4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Residual or mixed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'Figure 4.2'!$Z$2:$Z$4</c:f>
              <c:strCache>
                <c:ptCount val="0"/>
              </c:strCache>
            </c:strRef>
          </c:cat>
          <c:val>
            <c:numRef>
              <c:f>'Figure 4.2'!$AD$2:$AD$4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Outlier</c:v>
          </c:tx>
          <c:spPr>
            <a:solidFill xmlns:a="http://schemas.openxmlformats.org/drawingml/2006/main">
              <a:srgbClr val="E7E6E6"/>
            </a:solidFill>
          </c:spPr>
          <c:cat>
            <c:strRef>
              <c:f>'Figure 4.2'!$Z$2:$Z$4</c:f>
              <c:strCache>
                <c:ptCount val="0"/>
              </c:strCache>
            </c:strRef>
          </c:cat>
          <c:val>
            <c:numRef>
              <c:f>'Figure 4.2'!$AE$2:$AE$4</c:f>
              <c:numCache>
                <c:formatCode>General</c:formatCode>
                <c:ptCount val="0"/>
              </c:numCache>
            </c:numRef>
          </c:val>
        </c:ser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7144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Percentage within source (%)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/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 b="1"/>
              <a:t>BERTopic and original TF IDF comparison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 b="1"/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BERTopic audited output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'Figure 4.3'!$Z$2:$Z$8</c:f>
              <c:strCache>
                <c:ptCount val="0"/>
              </c:strCache>
            </c:strRef>
          </c:cat>
          <c:val>
            <c:numRef>
              <c:f>'Figure 4.3'!$AA$2:$AA$8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Original TF IDF figure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'Figure 4.3'!$Z$2:$Z$8</c:f>
              <c:strCache>
                <c:ptCount val="0"/>
              </c:strCache>
            </c:strRef>
          </c:cat>
          <c:val>
            <c:numRef>
              <c:f>'Figure 4.3'!$AB$2:$AB$8</c:f>
              <c:numCache>
                <c:formatCode>General</c:formatCode>
                <c:ptCount val="0"/>
              </c:numCache>
            </c:numRef>
          </c:val>
        </c:ser>
        <c:gapWidth val="45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7144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Percentage within each method output (%)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/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 b="1"/>
              <a:t>Composition of the transparent TF IDF rerun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 b="1"/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Percentage of 985 modelled items</c:v>
          </c:tx>
          <c:spPr>
            <a:solidFill xmlns:a="http://schemas.openxmlformats.org/drawingml/2006/main">
              <a:srgbClr val="5B9BD5"/>
            </a:solidFill>
          </c:spPr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75"/>
                      <a:t>7.3%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75"/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75"/>
                      <a:t>9.6%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75"/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75"/>
                      <a:t>14.3%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75"/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75"/>
                      <a:t>14.3%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75"/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75"/>
                      <a:t>54.4%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75"/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</c:dLbls>
          <c:cat>
            <c:strRef>
              <c:f>'Figure 4.4'!$Z$2:$Z$6</c:f>
              <c:strCache>
                <c:ptCount val="0"/>
              </c:strCache>
            </c:strRef>
          </c:cat>
          <c:val>
            <c:numRef>
              <c:f>'Figure 4.4'!$AA$2:$AA$6</c:f>
              <c:numCache>
                <c:formatCode>General</c:formatCode>
                <c:ptCount val="0"/>
              </c:numCache>
            </c:numRef>
          </c:val>
        </c:ser>
        <c:dLbls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675"/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7144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Percentage of all modelled text items (%)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ceacdb7ff34ed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30de8683a64ee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0c0f5d4099446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17a640e6014de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fa6fb7ecb0945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1daf4c12d394d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e6d859da94b4f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bd250ddb6a541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56.66999816894531" hidden="0" customWidth="1"/>
    <x:col min="3" max="3" width="26.780000686645508" hidden="0" customWidth="1"/>
    <x:col min="5" max="5" width="34" hidden="0" customWidth="1"/>
    <x:col min="6" max="6" width="8.5600004196167" hidden="0" customWidth="1"/>
    <x:col min="7" max="7" width="26.780000686645508" hidden="0" customWidth="1"/>
    <x:col min="8" max="8" width="30" hidden="0" customWidth="1"/>
    <x:col min="9" max="9" width="21.329999923706055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15" hidden="0" customHeight="1">
      <x:c r="A1" s="7" t="str">
        <x:v>BERTopic audited category</x:v>
      </x:c>
      <x:c r="B1" s="7" t="str">
        <x:v>Text items</x:v>
      </x:c>
      <x:c r="C1" s="7" t="str">
        <x:v>Percentage of 985 modelled items</x:v>
      </x:c>
      <x:c r="E1" s="7" t="str">
        <x:v>Source</x:v>
      </x:c>
      <x:c r="F1" s="7" t="str">
        <x:v>n</x:v>
      </x:c>
      <x:c r="G1" s="7" t="str">
        <x:v>Procedural access</x:v>
      </x:c>
      <x:c r="H1" s="7" t="str">
        <x:v>Trust and reliability</x:v>
      </x:c>
      <x:c r="I1" s="7" t="str">
        <x:v>Coverage and entitlements</x:v>
      </x:c>
      <x:c r="J1" s="7" t="str">
        <x:v>Residual or mixed</x:v>
      </x:c>
      <x:c r="K1" s="7" t="str">
        <x:v>Outlier</x:v>
      </x:c>
    </x:row>
    <x:row r="2" ht="15" hidden="0" customHeight="1">
      <x:c r="A2" s="12" t="str">
        <x:v>Procedural access</x:v>
      </x:c>
      <x:c r="B2" s="12" t="n">
        <x:v>347</x:v>
      </x:c>
      <x:c r="C2" s="13" t="n">
        <x:f>B2/985</x:f>
        <x:v>0.3522842639593909</x:v>
      </x:c>
      <x:c r="E2" s="12" t="str">
        <x:v>Nairaland</x:v>
      </x:c>
      <x:c r="F2" s="12" t="n">
        <x:v>557</x:v>
      </x:c>
      <x:c r="G2" s="13" t="n">
        <x:v>0.316</x:v>
      </x:c>
      <x:c r="H2" s="13" t="n">
        <x:v>0.178</x:v>
      </x:c>
      <x:c r="I2" s="13" t="n">
        <x:v>0.162</x:v>
      </x:c>
      <x:c r="J2" s="13" t="n">
        <x:v>0.072</x:v>
      </x:c>
      <x:c r="K2" s="13" t="n">
        <x:v>0.273</x:v>
      </x:c>
    </x:row>
    <x:row r="3" ht="15" hidden="0" customHeight="1">
      <x:c r="A3" s="12" t="str">
        <x:v>Trust and reliability</x:v>
      </x:c>
      <x:c r="B3" s="12" t="n">
        <x:v>139</x:v>
      </x:c>
      <x:c r="C3" s="13" t="n">
        <x:f>B3/985</x:f>
        <x:v>0.14111675126903553</x:v>
      </x:c>
      <x:c r="E3" s="12" t="str">
        <x:v>Google Play reviews</x:v>
      </x:c>
      <x:c r="F3" s="12" t="n">
        <x:v>277</x:v>
      </x:c>
      <x:c r="G3" s="13" t="n">
        <x:v>0.556</x:v>
      </x:c>
      <x:c r="H3" s="13" t="n">
        <x:v>0.047</x:v>
      </x:c>
      <x:c r="I3" s="13" t="n">
        <x:v>0</x:v>
      </x:c>
      <x:c r="J3" s="13" t="n">
        <x:v>0.011</x:v>
      </x:c>
      <x:c r="K3" s="13" t="n">
        <x:v>0.386</x:v>
      </x:c>
    </x:row>
    <x:row r="4" ht="15" hidden="0" customHeight="1">
      <x:c r="A4" s="12" t="str">
        <x:v>Coverage and entitlements</x:v>
      </x:c>
      <x:c r="B4" s="12" t="n">
        <x:v>91</x:v>
      </x:c>
      <x:c r="C4" s="13" t="n">
        <x:f>B4/985</x:f>
        <x:v>0.09238578680203045</x:v>
      </x:c>
      <x:c r="E4" s="12" t="str">
        <x:v>YouTube</x:v>
      </x:c>
      <x:c r="F4" s="12" t="n">
        <x:v>151</x:v>
      </x:c>
      <x:c r="G4" s="13" t="n">
        <x:v>0.113</x:v>
      </x:c>
      <x:c r="H4" s="13" t="n">
        <x:v>0.179</x:v>
      </x:c>
      <x:c r="I4" s="13" t="n">
        <x:v>0.007</x:v>
      </x:c>
      <x:c r="J4" s="13" t="n">
        <x:v>0.417</x:v>
      </x:c>
      <x:c r="K4" s="13" t="n">
        <x:v>0.285</x:v>
      </x:c>
    </x:row>
    <x:row r="5" ht="15" hidden="0" customHeight="1">
      <x:c r="A5" s="12" t="str">
        <x:v>Residual or mixed</x:v>
      </x:c>
      <x:c r="B5" s="12" t="n">
        <x:v>106</x:v>
      </x:c>
      <x:c r="C5" s="13" t="n">
        <x:f>B5/985</x:f>
        <x:v>0.10761421319796954</x:v>
      </x:c>
    </x:row>
    <x:row r="6" ht="15" hidden="0" customHeight="1">
      <x:c r="A6" s="12" t="str">
        <x:v>Outlier</x:v>
      </x:c>
      <x:c r="B6" s="12" t="n">
        <x:v>302</x:v>
      </x:c>
      <x:c r="C6" s="13" t="n">
        <x:f>B6/985</x:f>
        <x:v>0.3065989847715736</x:v>
      </x:c>
    </x:row>
    <x:row r="7"/>
    <x:row r="8"/>
    <x:row r="9"/>
    <x:row r="10" ht="15" hidden="0" customHeight="1">
      <x:c r="A10" s="7" t="str">
        <x:v>Method comparison category</x:v>
      </x:c>
      <x:c r="B10" s="7" t="str">
        <x:v>BERTopic audited output</x:v>
      </x:c>
      <x:c r="C10" s="7" t="str">
        <x:v>Original TF IDF figure</x:v>
      </x:c>
      <x:c r="E10" s="7" t="str">
        <x:v>TF IDF rerun cluster</x:v>
      </x:c>
      <x:c r="F10" s="7" t="str">
        <x:v>Text items</x:v>
      </x:c>
      <x:c r="G10" s="7" t="str">
        <x:v>Percentage of 985 modelled items</x:v>
      </x:c>
      <x:c r="H10" s="7" t="str">
        <x:v>Interpretive status</x:v>
      </x:c>
      <x:c r="J10" s="7" t="str">
        <x:v>Number of clusters</x:v>
      </x:c>
      <x:c r="K10" s="7" t="str">
        <x:v>Mean cosine silhouette</x:v>
      </x:c>
      <x:c r="L10" s="7" t="str">
        <x:v>Mean pairwise adjusted Rand index</x:v>
      </x:c>
    </x:row>
    <x:row r="11" ht="15" hidden="0" customHeight="1">
      <x:c r="A11" s="12" t="str">
        <x:v>Premium or pricing</x:v>
      </x:c>
      <x:c r="B11" s="13" t="n">
        <x:v>0</x:v>
      </x:c>
      <x:c r="C11" s="13" t="n">
        <x:v>0.331</x:v>
      </x:c>
      <x:c r="E11" s="12" t="str">
        <x:v>Mixed service, payment, and health</x:v>
      </x:c>
      <x:c r="F11" s="12" t="n">
        <x:v>536</x:v>
      </x:c>
      <x:c r="G11" s="13" t="n">
        <x:v>0.5441624365482234</x:v>
      </x:c>
      <x:c r="H11" s="12" t="str">
        <x:v>Too broad for category ranking</x:v>
      </x:c>
      <x:c r="J11" s="12" t="n">
        <x:v>5</x:v>
      </x:c>
      <x:c r="K11" s="22" t="n">
        <x:v>0.014847079181362762</x:v>
      </x:c>
      <x:c r="L11" s="22" t="n">
        <x:v>0.5569782895019509</x:v>
      </x:c>
    </x:row>
    <x:row r="12" ht="15" hidden="0" customHeight="1">
      <x:c r="A12" s="12" t="str">
        <x:v>Coverage and entitlements</x:v>
      </x:c>
      <x:c r="B12" s="13" t="n">
        <x:v>0.09238578680203045</x:v>
      </x:c>
      <x:c r="C12" s="13" t="n">
        <x:v>0.301</x:v>
      </x:c>
      <x:c r="E12" s="12" t="str">
        <x:v>HMO comparison and trust</x:v>
      </x:c>
      <x:c r="F12" s="12" t="n">
        <x:v>141</x:v>
      </x:c>
      <x:c r="G12" s="13" t="n">
        <x:v>0.1431472081218274</x:v>
      </x:c>
      <x:c r="H12" s="12" t="str">
        <x:v>Descriptive</x:v>
      </x:c>
      <x:c r="J12" s="12" t="n">
        <x:v>6</x:v>
      </x:c>
      <x:c r="K12" s="22" t="n">
        <x:v>0.016008585457264937</x:v>
      </x:c>
      <x:c r="L12" s="22" t="n">
        <x:v>0.46191479886192977</x:v>
      </x:c>
    </x:row>
    <x:row r="13" ht="15" hidden="0" customHeight="1">
      <x:c r="A13" s="12" t="str">
        <x:v>Procedural access</x:v>
      </x:c>
      <x:c r="B13" s="13" t="n">
        <x:v>0.3522842639593909</x:v>
      </x:c>
      <x:c r="C13" s="13" t="n">
        <x:v>0.197</x:v>
      </x:c>
      <x:c r="E13" s="12" t="str">
        <x:v>NHIS coverage and provider access</x:v>
      </x:c>
      <x:c r="F13" s="12" t="n">
        <x:v>141</x:v>
      </x:c>
      <x:c r="G13" s="13" t="n">
        <x:v>0.1431472081218274</x:v>
      </x:c>
      <x:c r="H13" s="12" t="str">
        <x:v>Descriptive</x:v>
      </x:c>
      <x:c r="J13" s="12" t="n">
        <x:v>7</x:v>
      </x:c>
      <x:c r="K13" s="22" t="n">
        <x:v>0.01776187623191829</x:v>
      </x:c>
      <x:c r="L13" s="22" t="n">
        <x:v>0.4914489417895876</x:v>
      </x:c>
    </x:row>
    <x:row r="14" ht="15" hidden="0" customHeight="1">
      <x:c r="A14" s="12" t="str">
        <x:v>Trust and reliability</x:v>
      </x:c>
      <x:c r="B14" s="13" t="n">
        <x:v>0.14111675126903553</x:v>
      </x:c>
      <x:c r="C14" s="13" t="n">
        <x:v>0.071</x:v>
      </x:c>
      <x:c r="E14" s="12" t="str">
        <x:v>Login and registration</x:v>
      </x:c>
      <x:c r="F14" s="12" t="n">
        <x:v>95</x:v>
      </x:c>
      <x:c r="G14" s="13" t="n">
        <x:v>0.09644670050761421</x:v>
      </x:c>
      <x:c r="H14" s="12" t="str">
        <x:v>Descriptive</x:v>
      </x:c>
      <x:c r="J14" s="12" t="n">
        <x:v>8</x:v>
      </x:c>
      <x:c r="K14" s="22" t="n">
        <x:v>0.01868453800065271</x:v>
      </x:c>
      <x:c r="L14" s="22" t="n">
        <x:v>0.4238834974367853</x:v>
      </x:c>
    </x:row>
    <x:row r="15" ht="15" hidden="0" customHeight="1">
      <x:c r="A15" s="12" t="str">
        <x:v>Claims process</x:v>
      </x:c>
      <x:c r="B15" s="13" t="n">
        <x:v>0</x:v>
      </x:c>
      <x:c r="C15" s="13" t="n">
        <x:v>0.06</x:v>
      </x:c>
      <x:c r="E15" s="12" t="str">
        <x:v>Office location and registration</x:v>
      </x:c>
      <x:c r="F15" s="12" t="n">
        <x:v>72</x:v>
      </x:c>
      <x:c r="G15" s="13" t="n">
        <x:v>0.07309644670050762</x:v>
      </x:c>
      <x:c r="H15" s="12" t="str">
        <x:v>Descriptive</x:v>
      </x:c>
      <x:c r="J15" s="12" t="n">
        <x:v>9</x:v>
      </x:c>
      <x:c r="K15" s="22" t="n">
        <x:v>0.020480397202901963</x:v>
      </x:c>
      <x:c r="L15" s="22" t="n">
        <x:v>0.4379509725188977</x:v>
      </x:c>
    </x:row>
    <x:row r="16" ht="15" hidden="0" customHeight="1">
      <x:c r="A16" s="12" t="str">
        <x:v>Residual or unclassified</x:v>
      </x:c>
      <x:c r="B16" s="13" t="n">
        <x:v>0.10761421319796954</x:v>
      </x:c>
      <x:c r="C16" s="13" t="n">
        <x:v>0.04</x:v>
      </x:c>
      <x:c r="J16" s="12" t="n">
        <x:v>10</x:v>
      </x:c>
      <x:c r="K16" s="22" t="n">
        <x:v>0.02202337717895473</x:v>
      </x:c>
      <x:c r="L16" s="22" t="n">
        <x:v>0.49033557240555464</x:v>
      </x:c>
    </x:row>
    <x:row r="17" ht="15" hidden="0" customHeight="1">
      <x:c r="A17" s="12" t="str">
        <x:v>Outlier</x:v>
      </x:c>
      <x:c r="B17" s="13" t="n">
        <x:v>0.3065989847715736</x:v>
      </x:c>
      <x:c r="C17" s="13" t="n">
        <x:v>0</x:v>
      </x:c>
      <x:c r="J17" s="12" t="n">
        <x:v>11</x:v>
      </x:c>
      <x:c r="K17" s="22" t="n">
        <x:v>0.021732169375731848</x:v>
      </x:c>
      <x:c r="L17" s="22" t="n">
        <x:v>0.382804649982709</x:v>
      </x:c>
    </x:row>
    <x:row r="18" ht="15" hidden="0" customHeight="1">
      <x:c r="A18" s="15" t="str">
        <x:v>Comparison note</x:v>
      </x:c>
      <x:c r="B18" s="18" t="str">
        <x:v>Original TF IDF values are approximate</x:v>
      </x:c>
      <x:c r="C18" s="18"/>
      <x:c r="J18" s="12" t="n">
        <x:v>12</x:v>
      </x:c>
      <x:c r="K18" s="22" t="n">
        <x:v>0.023199959591933488</x:v>
      </x:c>
      <x:c r="L18" s="22" t="n">
        <x:v>0.35303835054703825</x:v>
      </x:c>
    </x:row>
    <x:row r="19" ht="15" hidden="0" customHeight="1">
      <x:c r="A19" s="15" t="str">
        <x:v>Interpretation</x:v>
      </x:c>
      <x:c r="B19" s="18" t="str">
        <x:v>The original pricing bar includes a known mislabelled 25.5% NHIS registration cluster.</x:v>
      </x:c>
      <x:c r="C19" s="18"/>
      <x:c r="J19" s="12" t="n">
        <x:v>13</x:v>
      </x:c>
      <x:c r="K19" s="22" t="n">
        <x:v>0.023768335063906586</x:v>
      </x:c>
      <x:c r="L19" s="22" t="n">
        <x:v>0.3481475621222551</x:v>
      </x:c>
    </x:row>
    <x:row r="20" ht="15" hidden="0" customHeight="1">
      <x:c r="J20" s="12" t="n">
        <x:v>14</x:v>
      </x:c>
      <x:c r="K20" s="22" t="n">
        <x:v>0.02507900249734506</x:v>
      </x:c>
      <x:c r="L20" s="22" t="n">
        <x:v>0.35605321941659307</x:v>
      </x:c>
    </x:row>
    <x:row r="21" ht="15" hidden="0" customHeight="1">
      <x:c r="J21" s="12" t="n">
        <x:v>15</x:v>
      </x:c>
      <x:c r="K21" s="22" t="n">
        <x:v>0.024158893079647338</x:v>
      </x:c>
      <x:c r="L21" s="22" t="n">
        <x:v>0.28270424792435306</x:v>
      </x:c>
    </x:row>
  </x:sheetData>
  <x:mergeCells>
    <x:mergeCell ref="B18:C18"/>
    <x:mergeCell ref="B19:C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2" customHeight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Z1" t="str">
        <x:f>'Source Data'!A1</x:f>
        <x:v>BERTopic audited category</x:v>
      </x:c>
      <x:c r="AA1" t="str">
        <x:f>'Source Data'!C1</x:f>
        <x:v>Percentage of 985 modelled items</x:v>
      </x:c>
    </x:row>
    <x:row r="2" ht="22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Z2" t="str">
        <x:f>'Source Data'!A6</x:f>
        <x:v>Outlier</x:v>
      </x:c>
      <x:c r="AA2" t="n">
        <x:f>'Source Data'!C6*100</x:f>
        <x:v>30.65989847715736</x:v>
      </x:c>
    </x:row>
    <x:row r="3" ht="22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Z3" t="str">
        <x:f>'Source Data'!A5</x:f>
        <x:v>Residual or mixed</x:v>
      </x:c>
      <x:c r="AA3" t="n">
        <x:f>'Source Data'!C5*100</x:f>
        <x:v>10.761421319796954</x:v>
      </x:c>
    </x:row>
    <x:row r="4" ht="22" customHeight="1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Z4" t="str">
        <x:f>'Source Data'!A4</x:f>
        <x:v>Coverage and entitlements</x:v>
      </x:c>
      <x:c r="AA4" t="n">
        <x:f>'Source Data'!C4*100</x:f>
        <x:v>9.238578680203045</x:v>
      </x:c>
    </x:row>
    <x:row r="5" ht="22" customHeight="1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Z5" t="str">
        <x:f>'Source Data'!A3</x:f>
        <x:v>Trust and reliability</x:v>
      </x:c>
      <x:c r="AA5" t="n">
        <x:f>'Source Data'!C3*100</x:f>
        <x:v>14.111675126903553</x:v>
      </x:c>
    </x:row>
    <x:row r="6" ht="22" customHeight="1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Z6" t="str">
        <x:f>'Source Data'!A2</x:f>
        <x:v>Procedural access</x:v>
      </x:c>
      <x:c r="AA6" t="n">
        <x:f>'Source Data'!C2*100</x:f>
        <x:v>35.22842639593909</x:v>
      </x:c>
    </x:row>
    <x:row r="7" ht="22" customHeight="1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</x:row>
    <x:row r="8" ht="22" customHeight="1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</x:row>
    <x:row r="9" ht="22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</x:row>
    <x:row r="10" ht="22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</x:row>
    <x:row r="11" ht="22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</x:row>
    <x:row r="12" ht="22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</x:row>
    <x:row r="13" ht="22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</x:row>
    <x:row r="14" ht="22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</x:row>
    <x:row r="15" ht="22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</x:row>
    <x:row r="16" ht="22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</x:row>
    <x:row r="17" ht="22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</x:row>
    <x:row r="18" ht="22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</x:row>
    <x:row r="19" ht="22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</x:row>
    <x:row r="20" ht="22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</x:row>
    <x:row r="21" ht="22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</x:row>
    <x:row r="22" ht="22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</x:row>
    <x:row r="23" ht="22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</x:row>
    <x:row r="24" ht="22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</x:row>
  </x:sheetData>
  <x:pageMargins left="0.7" right="0.7" top="0.75" bottom="0.75" header="0.3" footer="0.3"/>
  <x:drawing xmlns:r="http://schemas.openxmlformats.org/officeDocument/2006/relationships" r:id="R4fa6fb7ecb09454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2" customHeight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Z1" t="str">
        <x:f>'Source Data'!E1</x:f>
        <x:v>Source</x:v>
      </x:c>
      <x:c r="AA1" t="str">
        <x:f>'Source Data'!G1</x:f>
        <x:v>Procedural access</x:v>
      </x:c>
      <x:c r="AB1" t="str">
        <x:f>'Source Data'!H1</x:f>
        <x:v>Trust and reliability</x:v>
      </x:c>
      <x:c r="AC1" t="str">
        <x:f>'Source Data'!I1</x:f>
        <x:v>Coverage and entitlements</x:v>
      </x:c>
      <x:c r="AD1" t="str">
        <x:f>'Source Data'!J1</x:f>
        <x:v>Residual or mixed</x:v>
      </x:c>
      <x:c r="AE1" t="str">
        <x:f>'Source Data'!K1</x:f>
        <x:v>Outlier</x:v>
      </x:c>
    </x:row>
    <x:row r="2" ht="22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Z2" t="str">
        <x:f>'Source Data'!E4</x:f>
        <x:v>YouTube</x:v>
      </x:c>
      <x:c r="AA2" t="n">
        <x:f>'Source Data'!G4*100</x:f>
        <x:v>11.3</x:v>
      </x:c>
      <x:c r="AB2" t="n">
        <x:f>'Source Data'!H4*100</x:f>
        <x:v>17.9</x:v>
      </x:c>
      <x:c r="AC2" t="n">
        <x:f>'Source Data'!I4*100</x:f>
        <x:v>0.7000000000000001</x:v>
      </x:c>
      <x:c r="AD2" t="n">
        <x:f>'Source Data'!J4*100</x:f>
        <x:v>41.699999999999996</x:v>
      </x:c>
      <x:c r="AE2" t="n">
        <x:f>'Source Data'!K4*100</x:f>
        <x:v>28.499999999999996</x:v>
      </x:c>
    </x:row>
    <x:row r="3" ht="22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Z3" t="str">
        <x:f>'Source Data'!E3</x:f>
        <x:v>Google Play reviews</x:v>
      </x:c>
      <x:c r="AA3" t="n">
        <x:f>'Source Data'!G3*100</x:f>
        <x:v>55.60000000000001</x:v>
      </x:c>
      <x:c r="AB3" t="n">
        <x:f>'Source Data'!H3*100</x:f>
        <x:v>4.7</x:v>
      </x:c>
      <x:c r="AC3" t="n">
        <x:f>'Source Data'!I3*100</x:f>
        <x:v>0</x:v>
      </x:c>
      <x:c r="AD3" t="n">
        <x:f>'Source Data'!J3*100</x:f>
        <x:v>1.0999999999999999</x:v>
      </x:c>
      <x:c r="AE3" t="n">
        <x:f>'Source Data'!K3*100</x:f>
        <x:v>38.6</x:v>
      </x:c>
    </x:row>
    <x:row r="4" ht="22" customHeight="1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Z4" t="str">
        <x:f>'Source Data'!E2</x:f>
        <x:v>Nairaland</x:v>
      </x:c>
      <x:c r="AA4" t="n">
        <x:f>'Source Data'!G2*100</x:f>
        <x:v>31.6</x:v>
      </x:c>
      <x:c r="AB4" t="n">
        <x:f>'Source Data'!H2*100</x:f>
        <x:v>17.8</x:v>
      </x:c>
      <x:c r="AC4" t="n">
        <x:f>'Source Data'!I2*100</x:f>
        <x:v>16.2</x:v>
      </x:c>
      <x:c r="AD4" t="n">
        <x:f>'Source Data'!J2*100</x:f>
        <x:v>7.199999999999999</x:v>
      </x:c>
      <x:c r="AE4" t="n">
        <x:f>'Source Data'!K2*100</x:f>
        <x:v>27.3</x:v>
      </x:c>
    </x:row>
    <x:row r="5" ht="22" customHeight="1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</x:row>
    <x:row r="6" ht="22" customHeight="1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</x:row>
    <x:row r="7" ht="22" customHeight="1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</x:row>
    <x:row r="8" ht="22" customHeight="1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</x:row>
    <x:row r="9" ht="22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</x:row>
    <x:row r="10" ht="22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</x:row>
    <x:row r="11" ht="22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</x:row>
    <x:row r="12" ht="22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</x:row>
    <x:row r="13" ht="22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</x:row>
    <x:row r="14" ht="22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</x:row>
    <x:row r="15" ht="22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</x:row>
    <x:row r="16" ht="22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</x:row>
    <x:row r="17" ht="22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</x:row>
    <x:row r="18" ht="22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</x:row>
    <x:row r="19" ht="22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</x:row>
    <x:row r="20" ht="22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</x:row>
    <x:row r="21" ht="22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</x:row>
    <x:row r="22" ht="22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</x:row>
    <x:row r="23" ht="22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</x:row>
    <x:row r="24" ht="22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</x:row>
  </x:sheetData>
  <x:pageMargins left="0.7" right="0.7" top="0.75" bottom="0.75" header="0.3" footer="0.3"/>
  <x:drawing xmlns:r="http://schemas.openxmlformats.org/officeDocument/2006/relationships" r:id="R91daf4c12d394da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2" customHeight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Z1" t="str">
        <x:f>'Source Data'!A10</x:f>
        <x:v>Method comparison category</x:v>
      </x:c>
      <x:c r="AA1" t="str">
        <x:f>'Source Data'!B10</x:f>
        <x:v>BERTopic audited output</x:v>
      </x:c>
      <x:c r="AB1" t="str">
        <x:f>'Source Data'!C10</x:f>
        <x:v>Original TF IDF figure</x:v>
      </x:c>
    </x:row>
    <x:row r="2" ht="22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Z2" t="str">
        <x:f>'Source Data'!A17</x:f>
        <x:v>Outlier</x:v>
      </x:c>
      <x:c r="AA2" t="n">
        <x:f>'Source Data'!B17*100</x:f>
        <x:v>30.65989847715736</x:v>
      </x:c>
      <x:c r="AB2" t="n">
        <x:f>'Source Data'!C17*100</x:f>
        <x:v>0</x:v>
      </x:c>
    </x:row>
    <x:row r="3" ht="22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Z3" t="str">
        <x:f>'Source Data'!A16</x:f>
        <x:v>Residual or unclassified</x:v>
      </x:c>
      <x:c r="AA3" t="n">
        <x:f>'Source Data'!B16*100</x:f>
        <x:v>10.761421319796954</x:v>
      </x:c>
      <x:c r="AB3" t="n">
        <x:f>'Source Data'!C16*100</x:f>
        <x:v>4</x:v>
      </x:c>
    </x:row>
    <x:row r="4" ht="22" customHeight="1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Z4" t="str">
        <x:f>'Source Data'!A15</x:f>
        <x:v>Claims process</x:v>
      </x:c>
      <x:c r="AA4" t="n">
        <x:f>'Source Data'!B15*100</x:f>
        <x:v>0</x:v>
      </x:c>
      <x:c r="AB4" t="n">
        <x:f>'Source Data'!C15*100</x:f>
        <x:v>6</x:v>
      </x:c>
    </x:row>
    <x:row r="5" ht="22" customHeight="1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Z5" t="str">
        <x:f>'Source Data'!A14</x:f>
        <x:v>Trust and reliability</x:v>
      </x:c>
      <x:c r="AA5" t="n">
        <x:f>'Source Data'!B14*100</x:f>
        <x:v>14.111675126903553</x:v>
      </x:c>
      <x:c r="AB5" t="n">
        <x:f>'Source Data'!C14*100</x:f>
        <x:v>7.1</x:v>
      </x:c>
    </x:row>
    <x:row r="6" ht="22" customHeight="1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Z6" t="str">
        <x:f>'Source Data'!A13</x:f>
        <x:v>Procedural access</x:v>
      </x:c>
      <x:c r="AA6" t="n">
        <x:f>'Source Data'!B13*100</x:f>
        <x:v>35.22842639593909</x:v>
      </x:c>
      <x:c r="AB6" t="n">
        <x:f>'Source Data'!C13*100</x:f>
        <x:v>19.7</x:v>
      </x:c>
    </x:row>
    <x:row r="7" ht="22" customHeight="1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Z7" t="str">
        <x:f>'Source Data'!A12</x:f>
        <x:v>Coverage and entitlements</x:v>
      </x:c>
      <x:c r="AA7" t="n">
        <x:f>'Source Data'!B12*100</x:f>
        <x:v>9.238578680203045</x:v>
      </x:c>
      <x:c r="AB7" t="n">
        <x:f>'Source Data'!C12*100</x:f>
        <x:v>30.099999999999998</x:v>
      </x:c>
    </x:row>
    <x:row r="8" ht="22" customHeight="1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Z8" t="str">
        <x:f>'Source Data'!A11</x:f>
        <x:v>Premium or pricing</x:v>
      </x:c>
      <x:c r="AA8" t="n">
        <x:f>'Source Data'!B11*100</x:f>
        <x:v>0</x:v>
      </x:c>
      <x:c r="AB8" t="n">
        <x:f>'Source Data'!C11*100</x:f>
        <x:v>33.1</x:v>
      </x:c>
    </x:row>
    <x:row r="9" ht="22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</x:row>
    <x:row r="10" ht="22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</x:row>
    <x:row r="11" ht="22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</x:row>
    <x:row r="12" ht="22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</x:row>
    <x:row r="13" ht="22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</x:row>
    <x:row r="14" ht="22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</x:row>
    <x:row r="15" ht="22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</x:row>
    <x:row r="16" ht="22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</x:row>
    <x:row r="17" ht="22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</x:row>
    <x:row r="18" ht="22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</x:row>
    <x:row r="19" ht="22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</x:row>
    <x:row r="20" ht="22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</x:row>
    <x:row r="21" ht="22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</x:row>
    <x:row r="22" ht="22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</x:row>
    <x:row r="23" ht="22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</x:row>
    <x:row r="24" ht="22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</x:row>
  </x:sheetData>
  <x:pageMargins left="0.7" right="0.7" top="0.75" bottom="0.75" header="0.3" footer="0.3"/>
  <x:drawing xmlns:r="http://schemas.openxmlformats.org/officeDocument/2006/relationships" r:id="Rbe6d859da94b4ff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2" customHeight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Z1" t="str">
        <x:f>'Source Data'!E10</x:f>
        <x:v>TF IDF rerun cluster</x:v>
      </x:c>
      <x:c r="AA1" t="str">
        <x:f>'Source Data'!G10</x:f>
        <x:v>Percentage of 985 modelled items</x:v>
      </x:c>
    </x:row>
    <x:row r="2" ht="22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Z2" t="str">
        <x:f>'Source Data'!E15</x:f>
        <x:v>Office location and registration</x:v>
      </x:c>
      <x:c r="AA2" t="n">
        <x:f>'Source Data'!G15*100</x:f>
        <x:v>7.309644670050762</x:v>
      </x:c>
    </x:row>
    <x:row r="3" ht="22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Z3" t="str">
        <x:f>'Source Data'!E14</x:f>
        <x:v>Login and registration</x:v>
      </x:c>
      <x:c r="AA3" t="n">
        <x:f>'Source Data'!G14*100</x:f>
        <x:v>9.644670050761421</x:v>
      </x:c>
    </x:row>
    <x:row r="4" ht="22" customHeight="1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Z4" t="str">
        <x:f>'Source Data'!E13</x:f>
        <x:v>NHIS coverage and provider access</x:v>
      </x:c>
      <x:c r="AA4" t="n">
        <x:f>'Source Data'!G13*100</x:f>
        <x:v>14.31472081218274</x:v>
      </x:c>
    </x:row>
    <x:row r="5" ht="22" customHeight="1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Z5" t="str">
        <x:f>'Source Data'!E12</x:f>
        <x:v>HMO comparison and trust</x:v>
      </x:c>
      <x:c r="AA5" t="n">
        <x:f>'Source Data'!G12*100</x:f>
        <x:v>14.31472081218274</x:v>
      </x:c>
    </x:row>
    <x:row r="6" ht="22" customHeight="1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Z6" t="str">
        <x:f>'Source Data'!E11</x:f>
        <x:v>Mixed service, payment, and health</x:v>
      </x:c>
      <x:c r="AA6" t="n">
        <x:f>'Source Data'!G11*100</x:f>
        <x:v>54.41624365482234</x:v>
      </x:c>
    </x:row>
    <x:row r="7" ht="22" customHeight="1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</x:row>
    <x:row r="8" ht="22" customHeight="1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</x:row>
    <x:row r="9" ht="22" customHeight="1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</x:row>
    <x:row r="10" ht="22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</x:row>
    <x:row r="11" ht="22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</x:row>
    <x:row r="12" ht="22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</x:row>
    <x:row r="13" ht="22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</x:row>
    <x:row r="14" ht="22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</x:row>
    <x:row r="15" ht="22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</x:row>
    <x:row r="16" ht="22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</x:row>
    <x:row r="17" ht="22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</x:row>
    <x:row r="18" ht="22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</x:row>
    <x:row r="19" ht="22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</x:row>
    <x:row r="20" ht="22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</x:row>
    <x:row r="21" ht="22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</x:row>
    <x:row r="22" ht="22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</x:row>
    <x:row r="23" ht="22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</x:row>
    <x:row r="24" ht="22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</x:row>
  </x:sheetData>
  <x:pageMargins left="0.7" right="0.7" top="0.75" bottom="0.75" header="0.3" footer="0.3"/>
  <x:drawing xmlns:r="http://schemas.openxmlformats.org/officeDocument/2006/relationships" r:id="Rdbd250ddb6a541e8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2" customHeight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</x:row>
    <x:row r="2" ht="22" customHeight="1">
      <x:c r="A2" s="53" t="str">
        <x:v>Selected online posts,
app reviews and comments</x:v>
      </x:c>
      <x:c r="B2" s="54" t="str">
        <x:v>Selected online posts,
app reviews and comments</x:v>
      </x:c>
      <x:c r="C2" s="55" t="str">
        <x:v>Selected online posts,
app reviews and comments</x:v>
      </x:c>
      <x:c r="D2" s="24"/>
      <x:c r="E2" s="93" t="str">
        <x:v>BERTopic
semantic topic discovery</x:v>
      </x:c>
      <x:c r="F2" s="94" t="str">
        <x:v>BERTopic
semantic topic discovery</x:v>
      </x:c>
      <x:c r="G2" s="95" t="str">
        <x:v>BERTopic
semantic topic discovery</x:v>
      </x:c>
      <x:c r="H2" s="24"/>
      <x:c r="I2" s="130" t="str">
        <x:v>TF IDF and K means
comparison and sensitivity</x:v>
      </x:c>
      <x:c r="J2" s="131" t="str">
        <x:v>TF IDF and K means
comparison and sensitivity</x:v>
      </x:c>
      <x:c r="K2" s="132" t="str">
        <x:v>TF IDF and K means
comparison and sensitivity</x:v>
      </x:c>
      <x:c r="L2" s="24"/>
      <x:c r="M2" s="24"/>
      <x:c r="N2" s="24"/>
      <x:c r="O2" s="24"/>
    </x:row>
    <x:row r="3" ht="22" customHeight="1">
      <x:c r="A3" s="56" t="str">
        <x:v>Selected online posts,
app reviews and comments</x:v>
      </x:c>
      <x:c r="B3" s="57" t="str">
        <x:v>Selected online posts,
app reviews and comments</x:v>
      </x:c>
      <x:c r="C3" s="58" t="str">
        <x:v>Selected online posts,
app reviews and comments</x:v>
      </x:c>
      <x:c r="D3" s="64" t="str">
        <x:v>→</x:v>
      </x:c>
      <x:c r="E3" s="96" t="str">
        <x:v>BERTopic
semantic topic discovery</x:v>
      </x:c>
      <x:c r="F3" s="97" t="str">
        <x:v>BERTopic
semantic topic discovery</x:v>
      </x:c>
      <x:c r="G3" s="98" t="str">
        <x:v>BERTopic
semantic topic discovery</x:v>
      </x:c>
      <x:c r="H3" s="64" t="str">
        <x:v>↔</x:v>
      </x:c>
      <x:c r="I3" s="133" t="str">
        <x:v>TF IDF and K means
comparison and sensitivity</x:v>
      </x:c>
      <x:c r="J3" s="134" t="str">
        <x:v>TF IDF and K means
comparison and sensitivity</x:v>
      </x:c>
      <x:c r="K3" s="135" t="str">
        <x:v>TF IDF and K means
comparison and sensitivity</x:v>
      </x:c>
      <x:c r="L3" s="24"/>
      <x:c r="M3" s="24"/>
      <x:c r="N3" s="24"/>
      <x:c r="O3" s="24"/>
    </x:row>
    <x:row r="4" ht="22" customHeight="1">
      <x:c r="A4" s="56" t="str">
        <x:v>Selected online posts,
app reviews and comments</x:v>
      </x:c>
      <x:c r="B4" s="57" t="str">
        <x:v>Selected online posts,
app reviews and comments</x:v>
      </x:c>
      <x:c r="C4" s="58" t="str">
        <x:v>Selected online posts,
app reviews and comments</x:v>
      </x:c>
      <x:c r="D4" s="64" t="str">
        <x:v>→</x:v>
      </x:c>
      <x:c r="E4" s="96" t="str">
        <x:v>BERTopic
semantic topic discovery</x:v>
      </x:c>
      <x:c r="F4" s="97" t="str">
        <x:v>BERTopic
semantic topic discovery</x:v>
      </x:c>
      <x:c r="G4" s="98" t="str">
        <x:v>BERTopic
semantic topic discovery</x:v>
      </x:c>
      <x:c r="H4" s="64" t="str">
        <x:v>↔</x:v>
      </x:c>
      <x:c r="I4" s="133" t="str">
        <x:v>TF IDF and K means
comparison and sensitivity</x:v>
      </x:c>
      <x:c r="J4" s="134" t="str">
        <x:v>TF IDF and K means
comparison and sensitivity</x:v>
      </x:c>
      <x:c r="K4" s="135" t="str">
        <x:v>TF IDF and K means
comparison and sensitivity</x:v>
      </x:c>
      <x:c r="L4" s="24"/>
      <x:c r="M4" s="24"/>
      <x:c r="N4" s="24"/>
      <x:c r="O4" s="24"/>
    </x:row>
    <x:row r="5" ht="22" customHeight="1">
      <x:c r="A5" s="59" t="str">
        <x:v>Selected online posts,
app reviews and comments</x:v>
      </x:c>
      <x:c r="B5" s="60" t="str">
        <x:v>Selected online posts,
app reviews and comments</x:v>
      </x:c>
      <x:c r="C5" s="61" t="str">
        <x:v>Selected online posts,
app reviews and comments</x:v>
      </x:c>
      <x:c r="D5" s="24"/>
      <x:c r="E5" s="99" t="str">
        <x:v>BERTopic
semantic topic discovery</x:v>
      </x:c>
      <x:c r="F5" s="100" t="str">
        <x:v>BERTopic
semantic topic discovery</x:v>
      </x:c>
      <x:c r="G5" s="101" t="str">
        <x:v>BERTopic
semantic topic discovery</x:v>
      </x:c>
      <x:c r="H5" s="24"/>
      <x:c r="I5" s="136" t="str">
        <x:v>TF IDF and K means
comparison and sensitivity</x:v>
      </x:c>
      <x:c r="J5" s="137" t="str">
        <x:v>TF IDF and K means
comparison and sensitivity</x:v>
      </x:c>
      <x:c r="K5" s="138" t="str">
        <x:v>TF IDF and K means
comparison and sensitivity</x:v>
      </x:c>
      <x:c r="L5" s="24"/>
      <x:c r="M5" s="24"/>
      <x:c r="N5" s="24"/>
      <x:c r="O5" s="24"/>
    </x:row>
    <x:row r="6" ht="22" customHeight="1">
      <x:c r="A6" s="24"/>
      <x:c r="B6" s="24"/>
      <x:c r="C6" s="24"/>
      <x:c r="D6" s="24"/>
      <x:c r="E6" s="24"/>
      <x:c r="F6" s="64" t="str">
        <x:v>↓</x:v>
      </x:c>
      <x:c r="G6" s="24"/>
      <x:c r="H6" s="24"/>
      <x:c r="I6" s="24"/>
      <x:c r="J6" s="64" t="str">
        <x:v>↓</x:v>
      </x:c>
      <x:c r="K6" s="24"/>
      <x:c r="L6" s="24"/>
      <x:c r="M6" s="24"/>
      <x:c r="N6" s="24"/>
      <x:c r="O6" s="24"/>
    </x:row>
    <x:row r="7" ht="22" customHeight="1">
      <x:c r="A7" s="24"/>
      <x:c r="B7" s="24"/>
      <x:c r="C7" s="24"/>
      <x:c r="D7" s="24"/>
      <x:c r="E7" s="24"/>
      <x:c r="F7" s="64" t="str">
        <x:v>↓</x:v>
      </x:c>
      <x:c r="G7" s="24"/>
      <x:c r="H7" s="24"/>
      <x:c r="I7" s="24"/>
      <x:c r="J7" s="64" t="str">
        <x:v>↓</x:v>
      </x:c>
      <x:c r="K7" s="24"/>
      <x:c r="L7" s="24"/>
      <x:c r="M7" s="24"/>
      <x:c r="N7" s="24"/>
      <x:c r="O7" s="24"/>
    </x:row>
    <x:row r="8" ht="22" customHeight="1">
      <x:c r="A8" s="24"/>
      <x:c r="B8" s="24"/>
      <x:c r="C8" s="24"/>
      <x:c r="D8" s="24"/>
      <x:c r="E8" s="167" t="str">
        <x:v>Audited consumer needs
access, trust and coverage</x:v>
      </x:c>
      <x:c r="F8" s="168" t="str">
        <x:v>Audited consumer needs
access, trust and coverage</x:v>
      </x:c>
      <x:c r="G8" s="169" t="str">
        <x:v>Audited consumer needs
access, trust and coverage</x:v>
      </x:c>
      <x:c r="H8" s="24"/>
      <x:c r="I8" s="204" t="str">
        <x:v>Evidence limits
source bias, noise and weak separation</x:v>
      </x:c>
      <x:c r="J8" s="205" t="str">
        <x:v>Evidence limits
source bias, noise and weak separation</x:v>
      </x:c>
      <x:c r="K8" s="206" t="str">
        <x:v>Evidence limits
source bias, noise and weak separation</x:v>
      </x:c>
      <x:c r="L8" s="24"/>
      <x:c r="M8" s="24"/>
      <x:c r="N8" s="24"/>
      <x:c r="O8" s="24"/>
    </x:row>
    <x:row r="9" ht="22" customHeight="1">
      <x:c r="A9" s="24"/>
      <x:c r="B9" s="24"/>
      <x:c r="C9" s="24"/>
      <x:c r="D9" s="24"/>
      <x:c r="E9" s="170" t="str">
        <x:v>Audited consumer needs
access, trust and coverage</x:v>
      </x:c>
      <x:c r="F9" s="171" t="str">
        <x:v>Audited consumer needs
access, trust and coverage</x:v>
      </x:c>
      <x:c r="G9" s="172" t="str">
        <x:v>Audited consumer needs
access, trust and coverage</x:v>
      </x:c>
      <x:c r="H9" s="64" t="str">
        <x:v>+</x:v>
      </x:c>
      <x:c r="I9" s="207" t="str">
        <x:v>Evidence limits
source bias, noise and weak separation</x:v>
      </x:c>
      <x:c r="J9" s="208" t="str">
        <x:v>Evidence limits
source bias, noise and weak separation</x:v>
      </x:c>
      <x:c r="K9" s="209" t="str">
        <x:v>Evidence limits
source bias, noise and weak separation</x:v>
      </x:c>
      <x:c r="L9" s="24"/>
      <x:c r="M9" s="24"/>
      <x:c r="N9" s="24"/>
      <x:c r="O9" s="24"/>
    </x:row>
    <x:row r="10" ht="22" customHeight="1">
      <x:c r="A10" s="24"/>
      <x:c r="B10" s="24"/>
      <x:c r="C10" s="24"/>
      <x:c r="D10" s="24"/>
      <x:c r="E10" s="170" t="str">
        <x:v>Audited consumer needs
access, trust and coverage</x:v>
      </x:c>
      <x:c r="F10" s="171" t="str">
        <x:v>Audited consumer needs
access, trust and coverage</x:v>
      </x:c>
      <x:c r="G10" s="172" t="str">
        <x:v>Audited consumer needs
access, trust and coverage</x:v>
      </x:c>
      <x:c r="H10" s="64" t="str">
        <x:v>+</x:v>
      </x:c>
      <x:c r="I10" s="207" t="str">
        <x:v>Evidence limits
source bias, noise and weak separation</x:v>
      </x:c>
      <x:c r="J10" s="208" t="str">
        <x:v>Evidence limits
source bias, noise and weak separation</x:v>
      </x:c>
      <x:c r="K10" s="209" t="str">
        <x:v>Evidence limits
source bias, noise and weak separation</x:v>
      </x:c>
      <x:c r="L10" s="24"/>
      <x:c r="M10" s="24"/>
      <x:c r="N10" s="24"/>
      <x:c r="O10" s="24"/>
    </x:row>
    <x:row r="11" ht="22" customHeight="1">
      <x:c r="A11" s="24"/>
      <x:c r="B11" s="24"/>
      <x:c r="C11" s="24"/>
      <x:c r="D11" s="24"/>
      <x:c r="E11" s="173" t="str">
        <x:v>Audited consumer needs
access, trust and coverage</x:v>
      </x:c>
      <x:c r="F11" s="174" t="str">
        <x:v>Audited consumer needs
access, trust and coverage</x:v>
      </x:c>
      <x:c r="G11" s="175" t="str">
        <x:v>Audited consumer needs
access, trust and coverage</x:v>
      </x:c>
      <x:c r="H11" s="24"/>
      <x:c r="I11" s="210" t="str">
        <x:v>Evidence limits
source bias, noise and weak separation</x:v>
      </x:c>
      <x:c r="J11" s="211" t="str">
        <x:v>Evidence limits
source bias, noise and weak separation</x:v>
      </x:c>
      <x:c r="K11" s="212" t="str">
        <x:v>Evidence limits
source bias, noise and weak separation</x:v>
      </x:c>
      <x:c r="L11" s="24"/>
      <x:c r="M11" s="24"/>
      <x:c r="N11" s="24"/>
      <x:c r="O11" s="24"/>
    </x:row>
    <x:row r="12" ht="22" customHeight="1">
      <x:c r="A12" s="24"/>
      <x:c r="B12" s="24"/>
      <x:c r="C12" s="24"/>
      <x:c r="D12" s="24"/>
      <x:c r="E12" s="24"/>
      <x:c r="F12" s="24"/>
      <x:c r="G12" s="64" t="str">
        <x:v>↓</x:v>
      </x:c>
      <x:c r="H12" s="64" t="str">
        <x:v>↓</x:v>
      </x:c>
      <x:c r="I12" s="64" t="str">
        <x:v>↓</x:v>
      </x:c>
      <x:c r="J12" s="24"/>
      <x:c r="K12" s="24"/>
      <x:c r="L12" s="24"/>
      <x:c r="M12" s="24"/>
      <x:c r="N12" s="24"/>
      <x:c r="O12" s="24"/>
    </x:row>
    <x:row r="13" ht="22" customHeight="1">
      <x:c r="A13" s="24"/>
      <x:c r="B13" s="24"/>
      <x:c r="C13" s="24"/>
      <x:c r="D13" s="24"/>
      <x:c r="E13" s="24"/>
      <x:c r="F13" s="24"/>
      <x:c r="G13" s="64" t="str">
        <x:v>↓</x:v>
      </x:c>
      <x:c r="H13" s="64" t="str">
        <x:v>↓</x:v>
      </x:c>
      <x:c r="I13" s="64" t="str">
        <x:v>↓</x:v>
      </x:c>
      <x:c r="J13" s="24"/>
      <x:c r="K13" s="24"/>
      <x:c r="L13" s="24"/>
      <x:c r="M13" s="24"/>
      <x:c r="N13" s="24"/>
      <x:c r="O13" s="24"/>
    </x:row>
    <x:row r="14" ht="22" customHeight="1">
      <x:c r="A14" s="24"/>
      <x:c r="B14" s="24"/>
      <x:c r="C14" s="24"/>
      <x:c r="D14" s="24"/>
      <x:c r="E14" s="241" t="str">
        <x:v>System requirements
priority content, source governance,
citations, refusal and escalation</x:v>
      </x:c>
      <x:c r="F14" s="242" t="str">
        <x:v>System requirements
priority content, source governance,
citations, refusal and escalation</x:v>
      </x:c>
      <x:c r="G14" s="242" t="str">
        <x:v>System requirements
priority content, source governance,
citations, refusal and escalation</x:v>
      </x:c>
      <x:c r="H14" s="242" t="str">
        <x:v>System requirements
priority content, source governance,
citations, refusal and escalation</x:v>
      </x:c>
      <x:c r="I14" s="243" t="str">
        <x:v>System requirements
priority content, source governance,
citations, refusal and escalation</x:v>
      </x:c>
      <x:c r="J14" s="24"/>
      <x:c r="K14" s="278" t="str">
        <x:v>RAG knowledge system blueprint
knowledge base, retrieval,
answer generation and controls</x:v>
      </x:c>
      <x:c r="L14" s="279" t="str">
        <x:v>RAG knowledge system blueprint
knowledge base, retrieval,
answer generation and controls</x:v>
      </x:c>
      <x:c r="M14" s="279" t="str">
        <x:v>RAG knowledge system blueprint
knowledge base, retrieval,
answer generation and controls</x:v>
      </x:c>
      <x:c r="N14" s="279" t="str">
        <x:v>RAG knowledge system blueprint
knowledge base, retrieval,
answer generation and controls</x:v>
      </x:c>
      <x:c r="O14" s="280" t="str">
        <x:v>RAG knowledge system blueprint
knowledge base, retrieval,
answer generation and controls</x:v>
      </x:c>
    </x:row>
    <x:row r="15" ht="22" customHeight="1">
      <x:c r="A15" s="24"/>
      <x:c r="B15" s="24"/>
      <x:c r="C15" s="24"/>
      <x:c r="D15" s="24"/>
      <x:c r="E15" s="244" t="str">
        <x:v>System requirements
priority content, source governance,
citations, refusal and escalation</x:v>
      </x:c>
      <x:c r="F15" s="245" t="str">
        <x:v>System requirements
priority content, source governance,
citations, refusal and escalation</x:v>
      </x:c>
      <x:c r="G15" s="245" t="str">
        <x:v>System requirements
priority content, source governance,
citations, refusal and escalation</x:v>
      </x:c>
      <x:c r="H15" s="245" t="str">
        <x:v>System requirements
priority content, source governance,
citations, refusal and escalation</x:v>
      </x:c>
      <x:c r="I15" s="246" t="str">
        <x:v>System requirements
priority content, source governance,
citations, refusal and escalation</x:v>
      </x:c>
      <x:c r="J15" s="64" t="str">
        <x:v>→</x:v>
      </x:c>
      <x:c r="K15" s="281" t="str">
        <x:v>RAG knowledge system blueprint
knowledge base, retrieval,
answer generation and controls</x:v>
      </x:c>
      <x:c r="L15" s="282" t="str">
        <x:v>RAG knowledge system blueprint
knowledge base, retrieval,
answer generation and controls</x:v>
      </x:c>
      <x:c r="M15" s="282" t="str">
        <x:v>RAG knowledge system blueprint
knowledge base, retrieval,
answer generation and controls</x:v>
      </x:c>
      <x:c r="N15" s="282" t="str">
        <x:v>RAG knowledge system blueprint
knowledge base, retrieval,
answer generation and controls</x:v>
      </x:c>
      <x:c r="O15" s="283" t="str">
        <x:v>RAG knowledge system blueprint
knowledge base, retrieval,
answer generation and controls</x:v>
      </x:c>
    </x:row>
    <x:row r="16" ht="22" customHeight="1">
      <x:c r="A16" s="24"/>
      <x:c r="B16" s="24"/>
      <x:c r="C16" s="24"/>
      <x:c r="D16" s="24"/>
      <x:c r="E16" s="244" t="str">
        <x:v>System requirements
priority content, source governance,
citations, refusal and escalation</x:v>
      </x:c>
      <x:c r="F16" s="245" t="str">
        <x:v>System requirements
priority content, source governance,
citations, refusal and escalation</x:v>
      </x:c>
      <x:c r="G16" s="245" t="str">
        <x:v>System requirements
priority content, source governance,
citations, refusal and escalation</x:v>
      </x:c>
      <x:c r="H16" s="245" t="str">
        <x:v>System requirements
priority content, source governance,
citations, refusal and escalation</x:v>
      </x:c>
      <x:c r="I16" s="246" t="str">
        <x:v>System requirements
priority content, source governance,
citations, refusal and escalation</x:v>
      </x:c>
      <x:c r="J16" s="64" t="str">
        <x:v>→</x:v>
      </x:c>
      <x:c r="K16" s="281" t="str">
        <x:v>RAG knowledge system blueprint
knowledge base, retrieval,
answer generation and controls</x:v>
      </x:c>
      <x:c r="L16" s="282" t="str">
        <x:v>RAG knowledge system blueprint
knowledge base, retrieval,
answer generation and controls</x:v>
      </x:c>
      <x:c r="M16" s="282" t="str">
        <x:v>RAG knowledge system blueprint
knowledge base, retrieval,
answer generation and controls</x:v>
      </x:c>
      <x:c r="N16" s="282" t="str">
        <x:v>RAG knowledge system blueprint
knowledge base, retrieval,
answer generation and controls</x:v>
      </x:c>
      <x:c r="O16" s="283" t="str">
        <x:v>RAG knowledge system blueprint
knowledge base, retrieval,
answer generation and controls</x:v>
      </x:c>
    </x:row>
    <x:row r="17" ht="22" customHeight="1">
      <x:c r="A17" s="24"/>
      <x:c r="B17" s="24"/>
      <x:c r="C17" s="24"/>
      <x:c r="D17" s="24"/>
      <x:c r="E17" s="247" t="str">
        <x:v>System requirements
priority content, source governance,
citations, refusal and escalation</x:v>
      </x:c>
      <x:c r="F17" s="248" t="str">
        <x:v>System requirements
priority content, source governance,
citations, refusal and escalation</x:v>
      </x:c>
      <x:c r="G17" s="248" t="str">
        <x:v>System requirements
priority content, source governance,
citations, refusal and escalation</x:v>
      </x:c>
      <x:c r="H17" s="248" t="str">
        <x:v>System requirements
priority content, source governance,
citations, refusal and escalation</x:v>
      </x:c>
      <x:c r="I17" s="249" t="str">
        <x:v>System requirements
priority content, source governance,
citations, refusal and escalation</x:v>
      </x:c>
      <x:c r="J17" s="24"/>
      <x:c r="K17" s="284" t="str">
        <x:v>RAG knowledge system blueprint
knowledge base, retrieval,
answer generation and controls</x:v>
      </x:c>
      <x:c r="L17" s="285" t="str">
        <x:v>RAG knowledge system blueprint
knowledge base, retrieval,
answer generation and controls</x:v>
      </x:c>
      <x:c r="M17" s="285" t="str">
        <x:v>RAG knowledge system blueprint
knowledge base, retrieval,
answer generation and controls</x:v>
      </x:c>
      <x:c r="N17" s="285" t="str">
        <x:v>RAG knowledge system blueprint
knowledge base, retrieval,
answer generation and controls</x:v>
      </x:c>
      <x:c r="O17" s="286" t="str">
        <x:v>RAG knowledge system blueprint
knowledge base, retrieval,
answer generation and controls</x:v>
      </x:c>
    </x:row>
    <x:row r="18" ht="22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64" t="str">
        <x:v>↓</x:v>
      </x:c>
      <x:c r="N18" s="24"/>
      <x:c r="O18" s="24"/>
    </x:row>
    <x:row r="19" ht="22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64" t="str">
        <x:v>↓</x:v>
      </x:c>
      <x:c r="N19" s="24"/>
      <x:c r="O19" s="24"/>
    </x:row>
    <x:row r="20" ht="22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315" t="str">
        <x:v>Prototype and evaluation
planned for the next semester project</x:v>
      </x:c>
      <x:c r="L20" s="316" t="str">
        <x:v>Prototype and evaluation
planned for the next semester project</x:v>
      </x:c>
      <x:c r="M20" s="316" t="str">
        <x:v>Prototype and evaluation
planned for the next semester project</x:v>
      </x:c>
      <x:c r="N20" s="316" t="str">
        <x:v>Prototype and evaluation
planned for the next semester project</x:v>
      </x:c>
      <x:c r="O20" s="317" t="str">
        <x:v>Prototype and evaluation
planned for the next semester project</x:v>
      </x:c>
    </x:row>
    <x:row r="21" ht="22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318" t="str">
        <x:v>Prototype and evaluation
planned for the next semester project</x:v>
      </x:c>
      <x:c r="L21" s="319" t="str">
        <x:v>Prototype and evaluation
planned for the next semester project</x:v>
      </x:c>
      <x:c r="M21" s="319" t="str">
        <x:v>Prototype and evaluation
planned for the next semester project</x:v>
      </x:c>
      <x:c r="N21" s="319" t="str">
        <x:v>Prototype and evaluation
planned for the next semester project</x:v>
      </x:c>
      <x:c r="O21" s="320" t="str">
        <x:v>Prototype and evaluation
planned for the next semester project</x:v>
      </x:c>
    </x:row>
    <x:row r="22" ht="22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318" t="str">
        <x:v>Prototype and evaluation
planned for the next semester project</x:v>
      </x:c>
      <x:c r="L22" s="319" t="str">
        <x:v>Prototype and evaluation
planned for the next semester project</x:v>
      </x:c>
      <x:c r="M22" s="319" t="str">
        <x:v>Prototype and evaluation
planned for the next semester project</x:v>
      </x:c>
      <x:c r="N22" s="319" t="str">
        <x:v>Prototype and evaluation
planned for the next semester project</x:v>
      </x:c>
      <x:c r="O22" s="320" t="str">
        <x:v>Prototype and evaluation
planned for the next semester project</x:v>
      </x:c>
    </x:row>
    <x:row r="23" ht="22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321" t="str">
        <x:v>Prototype and evaluation
planned for the next semester project</x:v>
      </x:c>
      <x:c r="L23" s="322" t="str">
        <x:v>Prototype and evaluation
planned for the next semester project</x:v>
      </x:c>
      <x:c r="M23" s="322" t="str">
        <x:v>Prototype and evaluation
planned for the next semester project</x:v>
      </x:c>
      <x:c r="N23" s="322" t="str">
        <x:v>Prototype and evaluation
planned for the next semester project</x:v>
      </x:c>
      <x:c r="O23" s="323" t="str">
        <x:v>Prototype and evaluation
planned for the next semester project</x:v>
      </x:c>
    </x:row>
    <x:row r="24" ht="22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</x:row>
  </x:sheetData>
  <x:mergeCells>
    <x:mergeCell ref="A2:C5"/>
    <x:mergeCell ref="D3:D4"/>
    <x:mergeCell ref="E2:G5"/>
    <x:mergeCell ref="H3:H4"/>
    <x:mergeCell ref="I2:K5"/>
    <x:mergeCell ref="F6:F7"/>
    <x:mergeCell ref="J6:J7"/>
    <x:mergeCell ref="E8:G11"/>
    <x:mergeCell ref="I8:K11"/>
    <x:mergeCell ref="H9:H10"/>
    <x:mergeCell ref="G12:I13"/>
    <x:mergeCell ref="E14:I17"/>
    <x:mergeCell ref="J15:J16"/>
    <x:mergeCell ref="K14:O17"/>
    <x:mergeCell ref="M18:M19"/>
    <x:mergeCell ref="K20:O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2" customHeight="1">
      <x:c r="A1" s="344" t="str">
        <x:v>Knowledge preparation lane</x:v>
      </x:c>
      <x:c r="B1" s="345" t="str">
        <x:v>Knowledge preparation lane</x:v>
      </x:c>
      <x:c r="C1" s="345" t="str">
        <x:v>Knowledge preparation lane</x:v>
      </x:c>
      <x:c r="D1" s="345" t="str">
        <x:v>Knowledge preparation lane</x:v>
      </x:c>
      <x:c r="E1" s="345" t="str">
        <x:v>Knowledge preparation lane</x:v>
      </x:c>
      <x:c r="F1" s="345" t="str">
        <x:v>Knowledge preparation lane</x:v>
      </x:c>
      <x:c r="G1" s="346" t="str">
        <x:v>Knowledge preparation lane</x:v>
      </x:c>
      <x:c r="H1" s="24"/>
      <x:c r="I1" s="344" t="str">
        <x:v>Question answering lane</x:v>
      </x:c>
      <x:c r="J1" s="345" t="str">
        <x:v>Question answering lane</x:v>
      </x:c>
      <x:c r="K1" s="345" t="str">
        <x:v>Question answering lane</x:v>
      </x:c>
      <x:c r="L1" s="345" t="str">
        <x:v>Question answering lane</x:v>
      </x:c>
      <x:c r="M1" s="345" t="str">
        <x:v>Question answering lane</x:v>
      </x:c>
      <x:c r="N1" s="345" t="str">
        <x:v>Question answering lane</x:v>
      </x:c>
      <x:c r="O1" s="346" t="str">
        <x:v>Question answering lane</x:v>
      </x:c>
    </x:row>
    <x:row r="2" ht="22" customHeight="1">
      <x:c r="A2" s="347" t="str">
        <x:v>Knowledge preparation lane</x:v>
      </x:c>
      <x:c r="B2" s="348" t="str">
        <x:v>Knowledge preparation lane</x:v>
      </x:c>
      <x:c r="C2" s="348" t="str">
        <x:v>Knowledge preparation lane</x:v>
      </x:c>
      <x:c r="D2" s="348" t="str">
        <x:v>Knowledge preparation lane</x:v>
      </x:c>
      <x:c r="E2" s="348" t="str">
        <x:v>Knowledge preparation lane</x:v>
      </x:c>
      <x:c r="F2" s="348" t="str">
        <x:v>Knowledge preparation lane</x:v>
      </x:c>
      <x:c r="G2" s="349" t="str">
        <x:v>Knowledge preparation lane</x:v>
      </x:c>
      <x:c r="H2" s="24"/>
      <x:c r="I2" s="347" t="str">
        <x:v>Question answering lane</x:v>
      </x:c>
      <x:c r="J2" s="348" t="str">
        <x:v>Question answering lane</x:v>
      </x:c>
      <x:c r="K2" s="348" t="str">
        <x:v>Question answering lane</x:v>
      </x:c>
      <x:c r="L2" s="348" t="str">
        <x:v>Question answering lane</x:v>
      </x:c>
      <x:c r="M2" s="348" t="str">
        <x:v>Question answering lane</x:v>
      </x:c>
      <x:c r="N2" s="348" t="str">
        <x:v>Question answering lane</x:v>
      </x:c>
      <x:c r="O2" s="349" t="str">
        <x:v>Question answering lane</x:v>
      </x:c>
    </x:row>
    <x:row r="3" ht="22" customHeight="1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 ht="22" customHeight="1">
      <x:c r="A4" s="53" t="str">
        <x:v>Approved regulatory, scheme,
policy and process sources</x:v>
      </x:c>
      <x:c r="B4" s="54" t="str">
        <x:v>Approved regulatory, scheme,
policy and process sources</x:v>
      </x:c>
      <x:c r="C4" s="54" t="str">
        <x:v>Approved regulatory, scheme,
policy and process sources</x:v>
      </x:c>
      <x:c r="D4" s="54" t="str">
        <x:v>Approved regulatory, scheme,
policy and process sources</x:v>
      </x:c>
      <x:c r="E4" s="54" t="str">
        <x:v>Approved regulatory, scheme,
policy and process sources</x:v>
      </x:c>
      <x:c r="F4" s="54" t="str">
        <x:v>Approved regulatory, scheme,
policy and process sources</x:v>
      </x:c>
      <x:c r="G4" s="55" t="str">
        <x:v>Approved regulatory, scheme,
policy and process sources</x:v>
      </x:c>
      <x:c r="H4" s="24"/>
      <x:c r="I4" s="53" t="str">
        <x:v>Consumer question</x:v>
      </x:c>
      <x:c r="J4" s="54" t="str">
        <x:v>Consumer question</x:v>
      </x:c>
      <x:c r="K4" s="54" t="str">
        <x:v>Consumer question</x:v>
      </x:c>
      <x:c r="L4" s="54" t="str">
        <x:v>Consumer question</x:v>
      </x:c>
      <x:c r="M4" s="54" t="str">
        <x:v>Consumer question</x:v>
      </x:c>
      <x:c r="N4" s="54" t="str">
        <x:v>Consumer question</x:v>
      </x:c>
      <x:c r="O4" s="55" t="str">
        <x:v>Consumer question</x:v>
      </x:c>
    </x:row>
    <x:row r="5" ht="22" customHeight="1">
      <x:c r="A5" s="56" t="str">
        <x:v>Approved regulatory, scheme,
policy and process sources</x:v>
      </x:c>
      <x:c r="B5" s="57" t="str">
        <x:v>Approved regulatory, scheme,
policy and process sources</x:v>
      </x:c>
      <x:c r="C5" s="57" t="str">
        <x:v>Approved regulatory, scheme,
policy and process sources</x:v>
      </x:c>
      <x:c r="D5" s="57" t="str">
        <x:v>Approved regulatory, scheme,
policy and process sources</x:v>
      </x:c>
      <x:c r="E5" s="57" t="str">
        <x:v>Approved regulatory, scheme,
policy and process sources</x:v>
      </x:c>
      <x:c r="F5" s="57" t="str">
        <x:v>Approved regulatory, scheme,
policy and process sources</x:v>
      </x:c>
      <x:c r="G5" s="58" t="str">
        <x:v>Approved regulatory, scheme,
policy and process sources</x:v>
      </x:c>
      <x:c r="H5" s="24"/>
      <x:c r="I5" s="56" t="str">
        <x:v>Consumer question</x:v>
      </x:c>
      <x:c r="J5" s="57" t="str">
        <x:v>Consumer question</x:v>
      </x:c>
      <x:c r="K5" s="57" t="str">
        <x:v>Consumer question</x:v>
      </x:c>
      <x:c r="L5" s="57" t="str">
        <x:v>Consumer question</x:v>
      </x:c>
      <x:c r="M5" s="57" t="str">
        <x:v>Consumer question</x:v>
      </x:c>
      <x:c r="N5" s="57" t="str">
        <x:v>Consumer question</x:v>
      </x:c>
      <x:c r="O5" s="58" t="str">
        <x:v>Consumer question</x:v>
      </x:c>
    </x:row>
    <x:row r="6" ht="22" customHeight="1">
      <x:c r="A6" s="59" t="str">
        <x:v>Approved regulatory, scheme,
policy and process sources</x:v>
      </x:c>
      <x:c r="B6" s="60" t="str">
        <x:v>Approved regulatory, scheme,
policy and process sources</x:v>
      </x:c>
      <x:c r="C6" s="60" t="str">
        <x:v>Approved regulatory, scheme,
policy and process sources</x:v>
      </x:c>
      <x:c r="D6" s="60" t="str">
        <x:v>Approved regulatory, scheme,
policy and process sources</x:v>
      </x:c>
      <x:c r="E6" s="60" t="str">
        <x:v>Approved regulatory, scheme,
policy and process sources</x:v>
      </x:c>
      <x:c r="F6" s="60" t="str">
        <x:v>Approved regulatory, scheme,
policy and process sources</x:v>
      </x:c>
      <x:c r="G6" s="61" t="str">
        <x:v>Approved regulatory, scheme,
policy and process sources</x:v>
      </x:c>
      <x:c r="H6" s="24"/>
      <x:c r="I6" s="59" t="str">
        <x:v>Consumer question</x:v>
      </x:c>
      <x:c r="J6" s="60" t="str">
        <x:v>Consumer question</x:v>
      </x:c>
      <x:c r="K6" s="60" t="str">
        <x:v>Consumer question</x:v>
      </x:c>
      <x:c r="L6" s="60" t="str">
        <x:v>Consumer question</x:v>
      </x:c>
      <x:c r="M6" s="60" t="str">
        <x:v>Consumer question</x:v>
      </x:c>
      <x:c r="N6" s="60" t="str">
        <x:v>Consumer question</x:v>
      </x:c>
      <x:c r="O6" s="61" t="str">
        <x:v>Consumer question</x:v>
      </x:c>
    </x:row>
    <x:row r="7" ht="22" customHeight="1">
      <x:c r="A7" s="24"/>
      <x:c r="B7" s="24"/>
      <x:c r="C7" s="24"/>
      <x:c r="D7" s="64" t="str">
        <x:v>↓</x:v>
      </x:c>
      <x:c r="E7" s="24"/>
      <x:c r="F7" s="24"/>
      <x:c r="G7" s="24"/>
      <x:c r="H7" s="24"/>
      <x:c r="I7" s="24"/>
      <x:c r="J7" s="24"/>
      <x:c r="K7" s="24"/>
      <x:c r="L7" s="64" t="str">
        <x:v>↓</x:v>
      </x:c>
      <x:c r="M7" s="24"/>
      <x:c r="N7" s="24"/>
      <x:c r="O7" s="24"/>
    </x:row>
    <x:row r="8" ht="22" customHeight="1">
      <x:c r="A8" s="93" t="str">
        <x:v>Review, ownership, version,
effective date and approval</x:v>
      </x:c>
      <x:c r="B8" s="94" t="str">
        <x:v>Review, ownership, version,
effective date and approval</x:v>
      </x:c>
      <x:c r="C8" s="94" t="str">
        <x:v>Review, ownership, version,
effective date and approval</x:v>
      </x:c>
      <x:c r="D8" s="94" t="str">
        <x:v>Review, ownership, version,
effective date and approval</x:v>
      </x:c>
      <x:c r="E8" s="94" t="str">
        <x:v>Review, ownership, version,
effective date and approval</x:v>
      </x:c>
      <x:c r="F8" s="94" t="str">
        <x:v>Review, ownership, version,
effective date and approval</x:v>
      </x:c>
      <x:c r="G8" s="95" t="str">
        <x:v>Review, ownership, version,
effective date and approval</x:v>
      </x:c>
      <x:c r="H8" s="24"/>
      <x:c r="I8" s="93" t="str">
        <x:v>Scope check and clarification</x:v>
      </x:c>
      <x:c r="J8" s="94" t="str">
        <x:v>Scope check and clarification</x:v>
      </x:c>
      <x:c r="K8" s="94" t="str">
        <x:v>Scope check and clarification</x:v>
      </x:c>
      <x:c r="L8" s="94" t="str">
        <x:v>Scope check and clarification</x:v>
      </x:c>
      <x:c r="M8" s="94" t="str">
        <x:v>Scope check and clarification</x:v>
      </x:c>
      <x:c r="N8" s="94" t="str">
        <x:v>Scope check and clarification</x:v>
      </x:c>
      <x:c r="O8" s="95" t="str">
        <x:v>Scope check and clarification</x:v>
      </x:c>
    </x:row>
    <x:row r="9" ht="22" customHeight="1">
      <x:c r="A9" s="96" t="str">
        <x:v>Review, ownership, version,
effective date and approval</x:v>
      </x:c>
      <x:c r="B9" s="97" t="str">
        <x:v>Review, ownership, version,
effective date and approval</x:v>
      </x:c>
      <x:c r="C9" s="97" t="str">
        <x:v>Review, ownership, version,
effective date and approval</x:v>
      </x:c>
      <x:c r="D9" s="97" t="str">
        <x:v>Review, ownership, version,
effective date and approval</x:v>
      </x:c>
      <x:c r="E9" s="97" t="str">
        <x:v>Review, ownership, version,
effective date and approval</x:v>
      </x:c>
      <x:c r="F9" s="97" t="str">
        <x:v>Review, ownership, version,
effective date and approval</x:v>
      </x:c>
      <x:c r="G9" s="98" t="str">
        <x:v>Review, ownership, version,
effective date and approval</x:v>
      </x:c>
      <x:c r="H9" s="24"/>
      <x:c r="I9" s="96" t="str">
        <x:v>Scope check and clarification</x:v>
      </x:c>
      <x:c r="J9" s="97" t="str">
        <x:v>Scope check and clarification</x:v>
      </x:c>
      <x:c r="K9" s="97" t="str">
        <x:v>Scope check and clarification</x:v>
      </x:c>
      <x:c r="L9" s="97" t="str">
        <x:v>Scope check and clarification</x:v>
      </x:c>
      <x:c r="M9" s="97" t="str">
        <x:v>Scope check and clarification</x:v>
      </x:c>
      <x:c r="N9" s="97" t="str">
        <x:v>Scope check and clarification</x:v>
      </x:c>
      <x:c r="O9" s="98" t="str">
        <x:v>Scope check and clarification</x:v>
      </x:c>
    </x:row>
    <x:row r="10" ht="22" customHeight="1">
      <x:c r="A10" s="99" t="str">
        <x:v>Review, ownership, version,
effective date and approval</x:v>
      </x:c>
      <x:c r="B10" s="100" t="str">
        <x:v>Review, ownership, version,
effective date and approval</x:v>
      </x:c>
      <x:c r="C10" s="100" t="str">
        <x:v>Review, ownership, version,
effective date and approval</x:v>
      </x:c>
      <x:c r="D10" s="100" t="str">
        <x:v>Review, ownership, version,
effective date and approval</x:v>
      </x:c>
      <x:c r="E10" s="100" t="str">
        <x:v>Review, ownership, version,
effective date and approval</x:v>
      </x:c>
      <x:c r="F10" s="100" t="str">
        <x:v>Review, ownership, version,
effective date and approval</x:v>
      </x:c>
      <x:c r="G10" s="101" t="str">
        <x:v>Review, ownership, version,
effective date and approval</x:v>
      </x:c>
      <x:c r="H10" s="24"/>
      <x:c r="I10" s="99" t="str">
        <x:v>Scope check and clarification</x:v>
      </x:c>
      <x:c r="J10" s="100" t="str">
        <x:v>Scope check and clarification</x:v>
      </x:c>
      <x:c r="K10" s="100" t="str">
        <x:v>Scope check and clarification</x:v>
      </x:c>
      <x:c r="L10" s="100" t="str">
        <x:v>Scope check and clarification</x:v>
      </x:c>
      <x:c r="M10" s="100" t="str">
        <x:v>Scope check and clarification</x:v>
      </x:c>
      <x:c r="N10" s="100" t="str">
        <x:v>Scope check and clarification</x:v>
      </x:c>
      <x:c r="O10" s="101" t="str">
        <x:v>Scope check and clarification</x:v>
      </x:c>
    </x:row>
    <x:row r="11" ht="22" customHeight="1">
      <x:c r="A11" s="24"/>
      <x:c r="B11" s="24"/>
      <x:c r="C11" s="24"/>
      <x:c r="D11" s="64" t="str">
        <x:v>↓</x:v>
      </x:c>
      <x:c r="E11" s="24"/>
      <x:c r="F11" s="24"/>
      <x:c r="G11" s="24"/>
      <x:c r="H11" s="24"/>
      <x:c r="I11" s="24"/>
      <x:c r="J11" s="24"/>
      <x:c r="K11" s="24"/>
      <x:c r="L11" s="64" t="str">
        <x:v>↓</x:v>
      </x:c>
      <x:c r="M11" s="24"/>
      <x:c r="N11" s="24"/>
      <x:c r="O11" s="24"/>
    </x:row>
    <x:row r="12" ht="22" customHeight="1">
      <x:c r="A12" s="167" t="str">
        <x:v>Chunk, tag and index
approved current content</x:v>
      </x:c>
      <x:c r="B12" s="168" t="str">
        <x:v>Chunk, tag and index
approved current content</x:v>
      </x:c>
      <x:c r="C12" s="168" t="str">
        <x:v>Chunk, tag and index
approved current content</x:v>
      </x:c>
      <x:c r="D12" s="168" t="str">
        <x:v>Chunk, tag and index
approved current content</x:v>
      </x:c>
      <x:c r="E12" s="168" t="str">
        <x:v>Chunk, tag and index
approved current content</x:v>
      </x:c>
      <x:c r="F12" s="168" t="str">
        <x:v>Chunk, tag and index
approved current content</x:v>
      </x:c>
      <x:c r="G12" s="169" t="str">
        <x:v>Chunk, tag and index
approved current content</x:v>
      </x:c>
      <x:c r="H12" s="24"/>
      <x:c r="I12" s="167" t="str">
        <x:v>Retrieve current approved evidence</x:v>
      </x:c>
      <x:c r="J12" s="168" t="str">
        <x:v>Retrieve current approved evidence</x:v>
      </x:c>
      <x:c r="K12" s="168" t="str">
        <x:v>Retrieve current approved evidence</x:v>
      </x:c>
      <x:c r="L12" s="168" t="str">
        <x:v>Retrieve current approved evidence</x:v>
      </x:c>
      <x:c r="M12" s="168" t="str">
        <x:v>Retrieve current approved evidence</x:v>
      </x:c>
      <x:c r="N12" s="168" t="str">
        <x:v>Retrieve current approved evidence</x:v>
      </x:c>
      <x:c r="O12" s="169" t="str">
        <x:v>Retrieve current approved evidence</x:v>
      </x:c>
    </x:row>
    <x:row r="13" ht="22" customHeight="1">
      <x:c r="A13" s="170" t="str">
        <x:v>Chunk, tag and index
approved current content</x:v>
      </x:c>
      <x:c r="B13" s="171" t="str">
        <x:v>Chunk, tag and index
approved current content</x:v>
      </x:c>
      <x:c r="C13" s="171" t="str">
        <x:v>Chunk, tag and index
approved current content</x:v>
      </x:c>
      <x:c r="D13" s="171" t="str">
        <x:v>Chunk, tag and index
approved current content</x:v>
      </x:c>
      <x:c r="E13" s="171" t="str">
        <x:v>Chunk, tag and index
approved current content</x:v>
      </x:c>
      <x:c r="F13" s="171" t="str">
        <x:v>Chunk, tag and index
approved current content</x:v>
      </x:c>
      <x:c r="G13" s="172" t="str">
        <x:v>Chunk, tag and index
approved current content</x:v>
      </x:c>
      <x:c r="H13" s="64" t="str">
        <x:v>→</x:v>
      </x:c>
      <x:c r="I13" s="170" t="str">
        <x:v>Retrieve current approved evidence</x:v>
      </x:c>
      <x:c r="J13" s="171" t="str">
        <x:v>Retrieve current approved evidence</x:v>
      </x:c>
      <x:c r="K13" s="171" t="str">
        <x:v>Retrieve current approved evidence</x:v>
      </x:c>
      <x:c r="L13" s="171" t="str">
        <x:v>Retrieve current approved evidence</x:v>
      </x:c>
      <x:c r="M13" s="171" t="str">
        <x:v>Retrieve current approved evidence</x:v>
      </x:c>
      <x:c r="N13" s="171" t="str">
        <x:v>Retrieve current approved evidence</x:v>
      </x:c>
      <x:c r="O13" s="172" t="str">
        <x:v>Retrieve current approved evidence</x:v>
      </x:c>
    </x:row>
    <x:row r="14" ht="22" customHeight="1">
      <x:c r="A14" s="173" t="str">
        <x:v>Chunk, tag and index
approved current content</x:v>
      </x:c>
      <x:c r="B14" s="174" t="str">
        <x:v>Chunk, tag and index
approved current content</x:v>
      </x:c>
      <x:c r="C14" s="174" t="str">
        <x:v>Chunk, tag and index
approved current content</x:v>
      </x:c>
      <x:c r="D14" s="174" t="str">
        <x:v>Chunk, tag and index
approved current content</x:v>
      </x:c>
      <x:c r="E14" s="174" t="str">
        <x:v>Chunk, tag and index
approved current content</x:v>
      </x:c>
      <x:c r="F14" s="174" t="str">
        <x:v>Chunk, tag and index
approved current content</x:v>
      </x:c>
      <x:c r="G14" s="175" t="str">
        <x:v>Chunk, tag and index
approved current content</x:v>
      </x:c>
      <x:c r="H14" s="24"/>
      <x:c r="I14" s="173" t="str">
        <x:v>Retrieve current approved evidence</x:v>
      </x:c>
      <x:c r="J14" s="174" t="str">
        <x:v>Retrieve current approved evidence</x:v>
      </x:c>
      <x:c r="K14" s="174" t="str">
        <x:v>Retrieve current approved evidence</x:v>
      </x:c>
      <x:c r="L14" s="174" t="str">
        <x:v>Retrieve current approved evidence</x:v>
      </x:c>
      <x:c r="M14" s="174" t="str">
        <x:v>Retrieve current approved evidence</x:v>
      </x:c>
      <x:c r="N14" s="174" t="str">
        <x:v>Retrieve current approved evidence</x:v>
      </x:c>
      <x:c r="O14" s="175" t="str">
        <x:v>Retrieve current approved evidence</x:v>
      </x:c>
    </x:row>
    <x:row r="15" ht="22" customHeight="1">
      <x:c r="A15" s="24"/>
      <x:c r="B15" s="24"/>
      <x:c r="C15" s="24"/>
      <x:c r="D15" s="64" t="str">
        <x:v>↓</x:v>
      </x:c>
      <x:c r="E15" s="24"/>
      <x:c r="F15" s="24"/>
      <x:c r="G15" s="24"/>
      <x:c r="H15" s="24"/>
      <x:c r="I15" s="24"/>
      <x:c r="J15" s="24"/>
      <x:c r="K15" s="24"/>
      <x:c r="L15" s="64" t="str">
        <x:v>↓</x:v>
      </x:c>
      <x:c r="M15" s="24"/>
      <x:c r="N15" s="24"/>
      <x:c r="O15" s="24"/>
    </x:row>
    <x:row r="16" ht="22" customHeight="1">
      <x:c r="A16" s="378" t="str">
        <x:v>Governed knowledge base</x:v>
      </x:c>
      <x:c r="B16" s="379" t="str">
        <x:v>Governed knowledge base</x:v>
      </x:c>
      <x:c r="C16" s="379" t="str">
        <x:v>Governed knowledge base</x:v>
      </x:c>
      <x:c r="D16" s="379" t="str">
        <x:v>Governed knowledge base</x:v>
      </x:c>
      <x:c r="E16" s="379" t="str">
        <x:v>Governed knowledge base</x:v>
      </x:c>
      <x:c r="F16" s="379" t="str">
        <x:v>Governed knowledge base</x:v>
      </x:c>
      <x:c r="G16" s="380" t="str">
        <x:v>Governed knowledge base</x:v>
      </x:c>
      <x:c r="H16" s="24"/>
      <x:c r="I16" s="241" t="str">
        <x:v>Generate and verify cited answer</x:v>
      </x:c>
      <x:c r="J16" s="242" t="str">
        <x:v>Generate and verify cited answer</x:v>
      </x:c>
      <x:c r="K16" s="242" t="str">
        <x:v>Generate and verify cited answer</x:v>
      </x:c>
      <x:c r="L16" s="242" t="str">
        <x:v>Generate and verify cited answer</x:v>
      </x:c>
      <x:c r="M16" s="242" t="str">
        <x:v>Generate and verify cited answer</x:v>
      </x:c>
      <x:c r="N16" s="242" t="str">
        <x:v>Generate and verify cited answer</x:v>
      </x:c>
      <x:c r="O16" s="243" t="str">
        <x:v>Generate and verify cited answer</x:v>
      </x:c>
    </x:row>
    <x:row r="17" ht="22" customHeight="1">
      <x:c r="A17" s="381" t="str">
        <x:v>Governed knowledge base</x:v>
      </x:c>
      <x:c r="B17" s="382" t="str">
        <x:v>Governed knowledge base</x:v>
      </x:c>
      <x:c r="C17" s="382" t="str">
        <x:v>Governed knowledge base</x:v>
      </x:c>
      <x:c r="D17" s="382" t="str">
        <x:v>Governed knowledge base</x:v>
      </x:c>
      <x:c r="E17" s="382" t="str">
        <x:v>Governed knowledge base</x:v>
      </x:c>
      <x:c r="F17" s="382" t="str">
        <x:v>Governed knowledge base</x:v>
      </x:c>
      <x:c r="G17" s="383" t="str">
        <x:v>Governed knowledge base</x:v>
      </x:c>
      <x:c r="H17" s="24"/>
      <x:c r="I17" s="244" t="str">
        <x:v>Generate and verify cited answer</x:v>
      </x:c>
      <x:c r="J17" s="245" t="str">
        <x:v>Generate and verify cited answer</x:v>
      </x:c>
      <x:c r="K17" s="245" t="str">
        <x:v>Generate and verify cited answer</x:v>
      </x:c>
      <x:c r="L17" s="245" t="str">
        <x:v>Generate and verify cited answer</x:v>
      </x:c>
      <x:c r="M17" s="245" t="str">
        <x:v>Generate and verify cited answer</x:v>
      </x:c>
      <x:c r="N17" s="245" t="str">
        <x:v>Generate and verify cited answer</x:v>
      </x:c>
      <x:c r="O17" s="246" t="str">
        <x:v>Generate and verify cited answer</x:v>
      </x:c>
    </x:row>
    <x:row r="18" ht="22" customHeight="1">
      <x:c r="A18" s="384" t="str">
        <x:v>Governed knowledge base</x:v>
      </x:c>
      <x:c r="B18" s="385" t="str">
        <x:v>Governed knowledge base</x:v>
      </x:c>
      <x:c r="C18" s="385" t="str">
        <x:v>Governed knowledge base</x:v>
      </x:c>
      <x:c r="D18" s="385" t="str">
        <x:v>Governed knowledge base</x:v>
      </x:c>
      <x:c r="E18" s="385" t="str">
        <x:v>Governed knowledge base</x:v>
      </x:c>
      <x:c r="F18" s="385" t="str">
        <x:v>Governed knowledge base</x:v>
      </x:c>
      <x:c r="G18" s="386" t="str">
        <x:v>Governed knowledge base</x:v>
      </x:c>
      <x:c r="H18" s="24"/>
      <x:c r="I18" s="247" t="str">
        <x:v>Generate and verify cited answer</x:v>
      </x:c>
      <x:c r="J18" s="248" t="str">
        <x:v>Generate and verify cited answer</x:v>
      </x:c>
      <x:c r="K18" s="248" t="str">
        <x:v>Generate and verify cited answer</x:v>
      </x:c>
      <x:c r="L18" s="248" t="str">
        <x:v>Generate and verify cited answer</x:v>
      </x:c>
      <x:c r="M18" s="248" t="str">
        <x:v>Generate and verify cited answer</x:v>
      </x:c>
      <x:c r="N18" s="248" t="str">
        <x:v>Generate and verify cited answer</x:v>
      </x:c>
      <x:c r="O18" s="249" t="str">
        <x:v>Generate and verify cited answer</x:v>
      </x:c>
    </x:row>
    <x:row r="19" ht="22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64" t="str">
        <x:v>↓</x:v>
      </x:c>
      <x:c r="M19" s="24"/>
      <x:c r="N19" s="24"/>
      <x:c r="O19" s="24"/>
    </x:row>
    <x:row r="20" ht="22" customHeight="1">
      <x:c r="A20" s="452" t="str">
        <x:v>Governance across both lanes
expiry, withdrawal, audit logs, monitoring and feedback</x:v>
      </x:c>
      <x:c r="B20" s="453" t="str">
        <x:v>Governance across both lanes
expiry, withdrawal, audit logs, monitoring and feedback</x:v>
      </x:c>
      <x:c r="C20" s="453" t="str">
        <x:v>Governance across both lanes
expiry, withdrawal, audit logs, monitoring and feedback</x:v>
      </x:c>
      <x:c r="D20" s="453" t="str">
        <x:v>Governance across both lanes
expiry, withdrawal, audit logs, monitoring and feedback</x:v>
      </x:c>
      <x:c r="E20" s="453" t="str">
        <x:v>Governance across both lanes
expiry, withdrawal, audit logs, monitoring and feedback</x:v>
      </x:c>
      <x:c r="F20" s="453" t="str">
        <x:v>Governance across both lanes
expiry, withdrawal, audit logs, monitoring and feedback</x:v>
      </x:c>
      <x:c r="G20" s="454" t="str">
        <x:v>Governance across both lanes
expiry, withdrawal, audit logs, monitoring and feedback</x:v>
      </x:c>
      <x:c r="H20" s="24"/>
      <x:c r="I20" s="415" t="str">
        <x:v>Answer, clarify,
refuse or escalate</x:v>
      </x:c>
      <x:c r="J20" s="416" t="str">
        <x:v>Answer, clarify,
refuse or escalate</x:v>
      </x:c>
      <x:c r="K20" s="416" t="str">
        <x:v>Answer, clarify,
refuse or escalate</x:v>
      </x:c>
      <x:c r="L20" s="416" t="str">
        <x:v>Answer, clarify,
refuse or escalate</x:v>
      </x:c>
      <x:c r="M20" s="416" t="str">
        <x:v>Answer, clarify,
refuse or escalate</x:v>
      </x:c>
      <x:c r="N20" s="416" t="str">
        <x:v>Answer, clarify,
refuse or escalate</x:v>
      </x:c>
      <x:c r="O20" s="417" t="str">
        <x:v>Answer, clarify,
refuse or escalate</x:v>
      </x:c>
    </x:row>
    <x:row r="21" ht="22" customHeight="1">
      <x:c r="A21" s="455" t="str">
        <x:v>Governance across both lanes
expiry, withdrawal, audit logs, monitoring and feedback</x:v>
      </x:c>
      <x:c r="B21" s="456" t="str">
        <x:v>Governance across both lanes
expiry, withdrawal, audit logs, monitoring and feedback</x:v>
      </x:c>
      <x:c r="C21" s="456" t="str">
        <x:v>Governance across both lanes
expiry, withdrawal, audit logs, monitoring and feedback</x:v>
      </x:c>
      <x:c r="D21" s="456" t="str">
        <x:v>Governance across both lanes
expiry, withdrawal, audit logs, monitoring and feedback</x:v>
      </x:c>
      <x:c r="E21" s="456" t="str">
        <x:v>Governance across both lanes
expiry, withdrawal, audit logs, monitoring and feedback</x:v>
      </x:c>
      <x:c r="F21" s="456" t="str">
        <x:v>Governance across both lanes
expiry, withdrawal, audit logs, monitoring and feedback</x:v>
      </x:c>
      <x:c r="G21" s="457" t="str">
        <x:v>Governance across both lanes
expiry, withdrawal, audit logs, monitoring and feedback</x:v>
      </x:c>
      <x:c r="H21" s="24"/>
      <x:c r="I21" s="418" t="str">
        <x:v>Answer, clarify,
refuse or escalate</x:v>
      </x:c>
      <x:c r="J21" s="419" t="str">
        <x:v>Answer, clarify,
refuse or escalate</x:v>
      </x:c>
      <x:c r="K21" s="419" t="str">
        <x:v>Answer, clarify,
refuse or escalate</x:v>
      </x:c>
      <x:c r="L21" s="419" t="str">
        <x:v>Answer, clarify,
refuse or escalate</x:v>
      </x:c>
      <x:c r="M21" s="419" t="str">
        <x:v>Answer, clarify,
refuse or escalate</x:v>
      </x:c>
      <x:c r="N21" s="419" t="str">
        <x:v>Answer, clarify,
refuse or escalate</x:v>
      </x:c>
      <x:c r="O21" s="420" t="str">
        <x:v>Answer, clarify,
refuse or escalate</x:v>
      </x:c>
    </x:row>
    <x:row r="22" ht="22" customHeight="1">
      <x:c r="A22" s="458" t="str">
        <x:v>Governance across both lanes
expiry, withdrawal, audit logs, monitoring and feedback</x:v>
      </x:c>
      <x:c r="B22" s="459" t="str">
        <x:v>Governance across both lanes
expiry, withdrawal, audit logs, monitoring and feedback</x:v>
      </x:c>
      <x:c r="C22" s="459" t="str">
        <x:v>Governance across both lanes
expiry, withdrawal, audit logs, monitoring and feedback</x:v>
      </x:c>
      <x:c r="D22" s="459" t="str">
        <x:v>Governance across both lanes
expiry, withdrawal, audit logs, monitoring and feedback</x:v>
      </x:c>
      <x:c r="E22" s="459" t="str">
        <x:v>Governance across both lanes
expiry, withdrawal, audit logs, monitoring and feedback</x:v>
      </x:c>
      <x:c r="F22" s="459" t="str">
        <x:v>Governance across both lanes
expiry, withdrawal, audit logs, monitoring and feedback</x:v>
      </x:c>
      <x:c r="G22" s="460" t="str">
        <x:v>Governance across both lanes
expiry, withdrawal, audit logs, monitoring and feedback</x:v>
      </x:c>
      <x:c r="H22" s="24"/>
      <x:c r="I22" s="421" t="str">
        <x:v>Answer, clarify,
refuse or escalate</x:v>
      </x:c>
      <x:c r="J22" s="422" t="str">
        <x:v>Answer, clarify,
refuse or escalate</x:v>
      </x:c>
      <x:c r="K22" s="422" t="str">
        <x:v>Answer, clarify,
refuse or escalate</x:v>
      </x:c>
      <x:c r="L22" s="422" t="str">
        <x:v>Answer, clarify,
refuse or escalate</x:v>
      </x:c>
      <x:c r="M22" s="422" t="str">
        <x:v>Answer, clarify,
refuse or escalate</x:v>
      </x:c>
      <x:c r="N22" s="422" t="str">
        <x:v>Answer, clarify,
refuse or escalate</x:v>
      </x:c>
      <x:c r="O22" s="423" t="str">
        <x:v>Answer, clarify,
refuse or escalate</x:v>
      </x:c>
    </x:row>
    <x:row r="23" ht="22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</x:row>
    <x:row r="24" ht="22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</x:row>
  </x:sheetData>
  <x:mergeCells>
    <x:mergeCell ref="A1:G2"/>
    <x:mergeCell ref="I1:O2"/>
    <x:mergeCell ref="A4:G6"/>
    <x:mergeCell ref="A8:G10"/>
    <x:mergeCell ref="A12:G14"/>
    <x:mergeCell ref="A16:G18"/>
    <x:mergeCell ref="I4:O6"/>
    <x:mergeCell ref="I8:O10"/>
    <x:mergeCell ref="I12:O14"/>
    <x:mergeCell ref="I16:O18"/>
    <x:mergeCell ref="I20:O22"/>
    <x:mergeCell ref="A20:G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2" customHeight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</x:row>
    <x:row r="2" ht="22" customHeight="1">
      <x:c r="A2" s="53" t="str">
        <x:v>Consumer question</x:v>
      </x:c>
      <x:c r="B2" s="54" t="str">
        <x:v>Consumer question</x:v>
      </x:c>
      <x:c r="C2" s="55" t="str">
        <x:v>Consumer question</x:v>
      </x:c>
      <x:c r="D2" s="24"/>
      <x:c r="E2" s="93" t="str">
        <x:v>Is the question
clear and in scope?</x:v>
      </x:c>
      <x:c r="F2" s="94" t="str">
        <x:v>Is the question
clear and in scope?</x:v>
      </x:c>
      <x:c r="G2" s="95" t="str">
        <x:v>Is the question
clear and in scope?</x:v>
      </x:c>
      <x:c r="H2" s="24"/>
      <x:c r="I2" s="167" t="str">
        <x:v>Retrieve approved,
current evidence</x:v>
      </x:c>
      <x:c r="J2" s="168" t="str">
        <x:v>Retrieve approved,
current evidence</x:v>
      </x:c>
      <x:c r="K2" s="169" t="str">
        <x:v>Retrieve approved,
current evidence</x:v>
      </x:c>
      <x:c r="L2" s="24"/>
      <x:c r="M2" s="241" t="str">
        <x:v>Is the evidence
sufficient?</x:v>
      </x:c>
      <x:c r="N2" s="242" t="str">
        <x:v>Is the evidence
sufficient?</x:v>
      </x:c>
      <x:c r="O2" s="243" t="str">
        <x:v>Is the evidence
sufficient?</x:v>
      </x:c>
    </x:row>
    <x:row r="3" ht="22" customHeight="1">
      <x:c r="A3" s="56" t="str">
        <x:v>Consumer question</x:v>
      </x:c>
      <x:c r="B3" s="57" t="str">
        <x:v>Consumer question</x:v>
      </x:c>
      <x:c r="C3" s="58" t="str">
        <x:v>Consumer question</x:v>
      </x:c>
      <x:c r="D3" s="64" t="str">
        <x:v>→</x:v>
      </x:c>
      <x:c r="E3" s="96" t="str">
        <x:v>Is the question
clear and in scope?</x:v>
      </x:c>
      <x:c r="F3" s="97" t="str">
        <x:v>Is the question
clear and in scope?</x:v>
      </x:c>
      <x:c r="G3" s="98" t="str">
        <x:v>Is the question
clear and in scope?</x:v>
      </x:c>
      <x:c r="H3" s="64" t="str">
        <x:v>Yes →</x:v>
      </x:c>
      <x:c r="I3" s="170" t="str">
        <x:v>Retrieve approved,
current evidence</x:v>
      </x:c>
      <x:c r="J3" s="171" t="str">
        <x:v>Retrieve approved,
current evidence</x:v>
      </x:c>
      <x:c r="K3" s="172" t="str">
        <x:v>Retrieve approved,
current evidence</x:v>
      </x:c>
      <x:c r="L3" s="64" t="str">
        <x:v>→</x:v>
      </x:c>
      <x:c r="M3" s="244" t="str">
        <x:v>Is the evidence
sufficient?</x:v>
      </x:c>
      <x:c r="N3" s="245" t="str">
        <x:v>Is the evidence
sufficient?</x:v>
      </x:c>
      <x:c r="O3" s="246" t="str">
        <x:v>Is the evidence
sufficient?</x:v>
      </x:c>
    </x:row>
    <x:row r="4" ht="22" customHeight="1">
      <x:c r="A4" s="56" t="str">
        <x:v>Consumer question</x:v>
      </x:c>
      <x:c r="B4" s="57" t="str">
        <x:v>Consumer question</x:v>
      </x:c>
      <x:c r="C4" s="58" t="str">
        <x:v>Consumer question</x:v>
      </x:c>
      <x:c r="D4" s="64" t="str">
        <x:v>→</x:v>
      </x:c>
      <x:c r="E4" s="96" t="str">
        <x:v>Is the question
clear and in scope?</x:v>
      </x:c>
      <x:c r="F4" s="97" t="str">
        <x:v>Is the question
clear and in scope?</x:v>
      </x:c>
      <x:c r="G4" s="98" t="str">
        <x:v>Is the question
clear and in scope?</x:v>
      </x:c>
      <x:c r="H4" s="64" t="str">
        <x:v>Yes →</x:v>
      </x:c>
      <x:c r="I4" s="170" t="str">
        <x:v>Retrieve approved,
current evidence</x:v>
      </x:c>
      <x:c r="J4" s="171" t="str">
        <x:v>Retrieve approved,
current evidence</x:v>
      </x:c>
      <x:c r="K4" s="172" t="str">
        <x:v>Retrieve approved,
current evidence</x:v>
      </x:c>
      <x:c r="L4" s="64" t="str">
        <x:v>→</x:v>
      </x:c>
      <x:c r="M4" s="244" t="str">
        <x:v>Is the evidence
sufficient?</x:v>
      </x:c>
      <x:c r="N4" s="245" t="str">
        <x:v>Is the evidence
sufficient?</x:v>
      </x:c>
      <x:c r="O4" s="246" t="str">
        <x:v>Is the evidence
sufficient?</x:v>
      </x:c>
    </x:row>
    <x:row r="5" ht="22" customHeight="1">
      <x:c r="A5" s="59" t="str">
        <x:v>Consumer question</x:v>
      </x:c>
      <x:c r="B5" s="60" t="str">
        <x:v>Consumer question</x:v>
      </x:c>
      <x:c r="C5" s="61" t="str">
        <x:v>Consumer question</x:v>
      </x:c>
      <x:c r="D5" s="24"/>
      <x:c r="E5" s="99" t="str">
        <x:v>Is the question
clear and in scope?</x:v>
      </x:c>
      <x:c r="F5" s="100" t="str">
        <x:v>Is the question
clear and in scope?</x:v>
      </x:c>
      <x:c r="G5" s="101" t="str">
        <x:v>Is the question
clear and in scope?</x:v>
      </x:c>
      <x:c r="H5" s="24"/>
      <x:c r="I5" s="173" t="str">
        <x:v>Retrieve approved,
current evidence</x:v>
      </x:c>
      <x:c r="J5" s="174" t="str">
        <x:v>Retrieve approved,
current evidence</x:v>
      </x:c>
      <x:c r="K5" s="175" t="str">
        <x:v>Retrieve approved,
current evidence</x:v>
      </x:c>
      <x:c r="L5" s="24"/>
      <x:c r="M5" s="247" t="str">
        <x:v>Is the evidence
sufficient?</x:v>
      </x:c>
      <x:c r="N5" s="248" t="str">
        <x:v>Is the evidence
sufficient?</x:v>
      </x:c>
      <x:c r="O5" s="249" t="str">
        <x:v>Is the evidence
sufficient?</x:v>
      </x:c>
    </x:row>
    <x:row r="6" ht="22" customHeight="1">
      <x:c r="A6" s="24"/>
      <x:c r="B6" s="24"/>
      <x:c r="C6" s="24"/>
      <x:c r="D6" s="24"/>
      <x:c r="E6" s="24"/>
      <x:c r="F6" s="64" t="str">
        <x:v>No ↓</x:v>
      </x:c>
      <x:c r="G6" s="24"/>
      <x:c r="H6" s="24"/>
      <x:c r="I6" s="24"/>
      <x:c r="J6" s="24"/>
      <x:c r="K6" s="24"/>
      <x:c r="L6" s="24"/>
      <x:c r="M6" s="24"/>
      <x:c r="N6" s="64" t="str">
        <x:v>No ↓</x:v>
      </x:c>
      <x:c r="O6" s="24"/>
    </x:row>
    <x:row r="7" ht="22" customHeight="1">
      <x:c r="A7" s="24"/>
      <x:c r="B7" s="24"/>
      <x:c r="C7" s="24"/>
      <x:c r="D7" s="24"/>
      <x:c r="E7" s="24"/>
      <x:c r="F7" s="64" t="str">
        <x:v>No ↓</x:v>
      </x:c>
      <x:c r="G7" s="24"/>
      <x:c r="H7" s="24"/>
      <x:c r="I7" s="24"/>
      <x:c r="J7" s="24"/>
      <x:c r="K7" s="24"/>
      <x:c r="L7" s="24"/>
      <x:c r="M7" s="24"/>
      <x:c r="N7" s="64" t="str">
        <x:v>No ↓</x:v>
      </x:c>
      <x:c r="O7" s="24"/>
    </x:row>
    <x:row r="8" ht="22" customHeight="1">
      <x:c r="A8" s="24"/>
      <x:c r="B8" s="24"/>
      <x:c r="C8" s="24"/>
      <x:c r="D8" s="24"/>
      <x:c r="E8" s="452" t="str">
        <x:v>Ask for clarification
or route out of scope</x:v>
      </x:c>
      <x:c r="F8" s="453" t="str">
        <x:v>Ask for clarification
or route out of scope</x:v>
      </x:c>
      <x:c r="G8" s="454" t="str">
        <x:v>Ask for clarification
or route out of scope</x:v>
      </x:c>
      <x:c r="H8" s="24"/>
      <x:c r="I8" s="24"/>
      <x:c r="J8" s="24"/>
      <x:c r="K8" s="24"/>
      <x:c r="L8" s="24"/>
      <x:c r="M8" s="489" t="str">
        <x:v>Refuse or escalate</x:v>
      </x:c>
      <x:c r="N8" s="490" t="str">
        <x:v>Refuse or escalate</x:v>
      </x:c>
      <x:c r="O8" s="491" t="str">
        <x:v>Refuse or escalate</x:v>
      </x:c>
    </x:row>
    <x:row r="9" ht="22" customHeight="1">
      <x:c r="A9" s="24"/>
      <x:c r="B9" s="24"/>
      <x:c r="C9" s="24"/>
      <x:c r="D9" s="24"/>
      <x:c r="E9" s="455" t="str">
        <x:v>Ask for clarification
or route out of scope</x:v>
      </x:c>
      <x:c r="F9" s="456" t="str">
        <x:v>Ask for clarification
or route out of scope</x:v>
      </x:c>
      <x:c r="G9" s="457" t="str">
        <x:v>Ask for clarification
or route out of scope</x:v>
      </x:c>
      <x:c r="H9" s="24"/>
      <x:c r="I9" s="24"/>
      <x:c r="J9" s="24"/>
      <x:c r="K9" s="24"/>
      <x:c r="L9" s="24"/>
      <x:c r="M9" s="492" t="str">
        <x:v>Refuse or escalate</x:v>
      </x:c>
      <x:c r="N9" s="493" t="str">
        <x:v>Refuse or escalate</x:v>
      </x:c>
      <x:c r="O9" s="494" t="str">
        <x:v>Refuse or escalate</x:v>
      </x:c>
    </x:row>
    <x:row r="10" ht="22" customHeight="1">
      <x:c r="A10" s="24"/>
      <x:c r="B10" s="24"/>
      <x:c r="C10" s="24"/>
      <x:c r="D10" s="24"/>
      <x:c r="E10" s="455" t="str">
        <x:v>Ask for clarification
or route out of scope</x:v>
      </x:c>
      <x:c r="F10" s="456" t="str">
        <x:v>Ask for clarification
or route out of scope</x:v>
      </x:c>
      <x:c r="G10" s="457" t="str">
        <x:v>Ask for clarification
or route out of scope</x:v>
      </x:c>
      <x:c r="H10" s="24"/>
      <x:c r="I10" s="24"/>
      <x:c r="J10" s="24"/>
      <x:c r="K10" s="24"/>
      <x:c r="L10" s="24"/>
      <x:c r="M10" s="492" t="str">
        <x:v>Refuse or escalate</x:v>
      </x:c>
      <x:c r="N10" s="493" t="str">
        <x:v>Refuse or escalate</x:v>
      </x:c>
      <x:c r="O10" s="494" t="str">
        <x:v>Refuse or escalate</x:v>
      </x:c>
    </x:row>
    <x:row r="11" ht="22" customHeight="1">
      <x:c r="A11" s="24"/>
      <x:c r="B11" s="24"/>
      <x:c r="C11" s="24"/>
      <x:c r="D11" s="24"/>
      <x:c r="E11" s="458" t="str">
        <x:v>Ask for clarification
or route out of scope</x:v>
      </x:c>
      <x:c r="F11" s="459" t="str">
        <x:v>Ask for clarification
or route out of scope</x:v>
      </x:c>
      <x:c r="G11" s="460" t="str">
        <x:v>Ask for clarification
or route out of scope</x:v>
      </x:c>
      <x:c r="H11" s="24"/>
      <x:c r="I11" s="24"/>
      <x:c r="J11" s="24"/>
      <x:c r="K11" s="24"/>
      <x:c r="L11" s="24"/>
      <x:c r="M11" s="495" t="str">
        <x:v>Refuse or escalate</x:v>
      </x:c>
      <x:c r="N11" s="496" t="str">
        <x:v>Refuse or escalate</x:v>
      </x:c>
      <x:c r="O11" s="497" t="str">
        <x:v>Refuse or escalate</x:v>
      </x:c>
    </x:row>
    <x:row r="12" ht="22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64" t="str">
        <x:v>Yes ↓</x:v>
      </x:c>
      <x:c r="O12" s="24"/>
    </x:row>
    <x:row r="13" ht="22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64" t="str">
        <x:v>Yes ↓</x:v>
      </x:c>
      <x:c r="O13" s="24"/>
    </x:row>
    <x:row r="14" ht="22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78" t="str">
        <x:v>Generate answer with
claim level citations</x:v>
      </x:c>
      <x:c r="N14" s="279" t="str">
        <x:v>Generate answer with
claim level citations</x:v>
      </x:c>
      <x:c r="O14" s="280" t="str">
        <x:v>Generate answer with
claim level citations</x:v>
      </x:c>
    </x:row>
    <x:row r="15" ht="22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81" t="str">
        <x:v>Generate answer with
claim level citations</x:v>
      </x:c>
      <x:c r="N15" s="282" t="str">
        <x:v>Generate answer with
claim level citations</x:v>
      </x:c>
      <x:c r="O15" s="283" t="str">
        <x:v>Generate answer with
claim level citations</x:v>
      </x:c>
    </x:row>
    <x:row r="16" ht="22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81" t="str">
        <x:v>Generate answer with
claim level citations</x:v>
      </x:c>
      <x:c r="N16" s="282" t="str">
        <x:v>Generate answer with
claim level citations</x:v>
      </x:c>
      <x:c r="O16" s="283" t="str">
        <x:v>Generate answer with
claim level citations</x:v>
      </x:c>
    </x:row>
    <x:row r="17" ht="22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84" t="str">
        <x:v>Generate answer with
claim level citations</x:v>
      </x:c>
      <x:c r="N17" s="285" t="str">
        <x:v>Generate answer with
claim level citations</x:v>
      </x:c>
      <x:c r="O17" s="286" t="str">
        <x:v>Generate answer with
claim level citations</x:v>
      </x:c>
    </x:row>
    <x:row r="18" ht="22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64" t="str">
        <x:v>↓</x:v>
      </x:c>
      <x:c r="O18" s="24"/>
    </x:row>
    <x:row r="19" ht="22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64" t="str">
        <x:v>↓</x:v>
      </x:c>
      <x:c r="O19" s="24"/>
    </x:row>
    <x:row r="20" ht="22" customHeight="1">
      <x:c r="A20" s="24"/>
      <x:c r="B20" s="24"/>
      <x:c r="C20" s="24"/>
      <x:c r="D20" s="24"/>
      <x:c r="E20" s="489" t="str">
        <x:v>One constrained retry,
then refuse or escalate</x:v>
      </x:c>
      <x:c r="F20" s="490" t="str">
        <x:v>One constrained retry,
then refuse or escalate</x:v>
      </x:c>
      <x:c r="G20" s="490" t="str">
        <x:v>One constrained retry,
then refuse or escalate</x:v>
      </x:c>
      <x:c r="H20" s="490" t="str">
        <x:v>One constrained retry,
then refuse or escalate</x:v>
      </x:c>
      <x:c r="I20" s="491" t="str">
        <x:v>One constrained retry,
then refuse or escalate</x:v>
      </x:c>
      <x:c r="J20" s="24"/>
      <x:c r="K20" s="241" t="str">
        <x:v>Support and confidence checks pass?</x:v>
      </x:c>
      <x:c r="L20" s="242" t="str">
        <x:v>Support and confidence checks pass?</x:v>
      </x:c>
      <x:c r="M20" s="242" t="str">
        <x:v>Support and confidence checks pass?</x:v>
      </x:c>
      <x:c r="N20" s="242" t="str">
        <x:v>Support and confidence checks pass?</x:v>
      </x:c>
      <x:c r="O20" s="243" t="str">
        <x:v>Support and confidence checks pass?</x:v>
      </x:c>
    </x:row>
    <x:row r="21" ht="22" customHeight="1">
      <x:c r="A21" s="24"/>
      <x:c r="B21" s="24"/>
      <x:c r="C21" s="24"/>
      <x:c r="D21" s="24"/>
      <x:c r="E21" s="492" t="str">
        <x:v>One constrained retry,
then refuse or escalate</x:v>
      </x:c>
      <x:c r="F21" s="493" t="str">
        <x:v>One constrained retry,
then refuse or escalate</x:v>
      </x:c>
      <x:c r="G21" s="493" t="str">
        <x:v>One constrained retry,
then refuse or escalate</x:v>
      </x:c>
      <x:c r="H21" s="493" t="str">
        <x:v>One constrained retry,
then refuse or escalate</x:v>
      </x:c>
      <x:c r="I21" s="494" t="str">
        <x:v>One constrained retry,
then refuse or escalate</x:v>
      </x:c>
      <x:c r="J21" s="64" t="str">
        <x:v>No ←</x:v>
      </x:c>
      <x:c r="K21" s="244" t="str">
        <x:v>Support and confidence checks pass?</x:v>
      </x:c>
      <x:c r="L21" s="245" t="str">
        <x:v>Support and confidence checks pass?</x:v>
      </x:c>
      <x:c r="M21" s="245" t="str">
        <x:v>Support and confidence checks pass?</x:v>
      </x:c>
      <x:c r="N21" s="245" t="str">
        <x:v>Support and confidence checks pass?</x:v>
      </x:c>
      <x:c r="O21" s="246" t="str">
        <x:v>Support and confidence checks pass?</x:v>
      </x:c>
    </x:row>
    <x:row r="22" ht="22" customHeight="1">
      <x:c r="A22" s="24"/>
      <x:c r="B22" s="24"/>
      <x:c r="C22" s="24"/>
      <x:c r="D22" s="24"/>
      <x:c r="E22" s="492" t="str">
        <x:v>One constrained retry,
then refuse or escalate</x:v>
      </x:c>
      <x:c r="F22" s="493" t="str">
        <x:v>One constrained retry,
then refuse or escalate</x:v>
      </x:c>
      <x:c r="G22" s="493" t="str">
        <x:v>One constrained retry,
then refuse or escalate</x:v>
      </x:c>
      <x:c r="H22" s="493" t="str">
        <x:v>One constrained retry,
then refuse or escalate</x:v>
      </x:c>
      <x:c r="I22" s="494" t="str">
        <x:v>One constrained retry,
then refuse or escalate</x:v>
      </x:c>
      <x:c r="J22" s="64" t="str">
        <x:v>No ←</x:v>
      </x:c>
      <x:c r="K22" s="244" t="str">
        <x:v>Support and confidence checks pass?</x:v>
      </x:c>
      <x:c r="L22" s="245" t="str">
        <x:v>Support and confidence checks pass?</x:v>
      </x:c>
      <x:c r="M22" s="245" t="str">
        <x:v>Support and confidence checks pass?</x:v>
      </x:c>
      <x:c r="N22" s="245" t="str">
        <x:v>Support and confidence checks pass?</x:v>
      </x:c>
      <x:c r="O22" s="246" t="str">
        <x:v>Support and confidence checks pass?</x:v>
      </x:c>
    </x:row>
    <x:row r="23" ht="22" customHeight="1">
      <x:c r="A23" s="24"/>
      <x:c r="B23" s="24"/>
      <x:c r="C23" s="24"/>
      <x:c r="D23" s="24"/>
      <x:c r="E23" s="495" t="str">
        <x:v>One constrained retry,
then refuse or escalate</x:v>
      </x:c>
      <x:c r="F23" s="496" t="str">
        <x:v>One constrained retry,
then refuse or escalate</x:v>
      </x:c>
      <x:c r="G23" s="496" t="str">
        <x:v>One constrained retry,
then refuse or escalate</x:v>
      </x:c>
      <x:c r="H23" s="496" t="str">
        <x:v>One constrained retry,
then refuse or escalate</x:v>
      </x:c>
      <x:c r="I23" s="497" t="str">
        <x:v>One constrained retry,
then refuse or escalate</x:v>
      </x:c>
      <x:c r="J23" s="24"/>
      <x:c r="K23" s="247" t="str">
        <x:v>Support and confidence checks pass?</x:v>
      </x:c>
      <x:c r="L23" s="248" t="str">
        <x:v>Support and confidence checks pass?</x:v>
      </x:c>
      <x:c r="M23" s="248" t="str">
        <x:v>Support and confidence checks pass?</x:v>
      </x:c>
      <x:c r="N23" s="248" t="str">
        <x:v>Support and confidence checks pass?</x:v>
      </x:c>
      <x:c r="O23" s="249" t="str">
        <x:v>Support and confidence checks pass?</x:v>
      </x:c>
    </x:row>
    <x:row r="24" ht="22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64" t="str">
        <x:v>Yes ↓</x:v>
      </x:c>
      <x:c r="O24" s="24"/>
    </x:row>
    <x:row r="25">
      <x:c r="K25" s="378" t="str">
        <x:v>Show cited answer
and record audit event</x:v>
      </x:c>
      <x:c r="L25" s="379" t="str">
        <x:v>Show cited answer
and record audit event</x:v>
      </x:c>
      <x:c r="M25" s="379" t="str">
        <x:v>Show cited answer
and record audit event</x:v>
      </x:c>
      <x:c r="N25" s="379" t="str">
        <x:v>Show cited answer
and record audit event</x:v>
      </x:c>
      <x:c r="O25" s="380" t="str">
        <x:v>Show cited answer
and record audit event</x:v>
      </x:c>
    </x:row>
    <x:row r="26">
      <x:c r="K26" s="381" t="str">
        <x:v>Show cited answer
and record audit event</x:v>
      </x:c>
      <x:c r="L26" s="382" t="str">
        <x:v>Show cited answer
and record audit event</x:v>
      </x:c>
      <x:c r="M26" s="382" t="str">
        <x:v>Show cited answer
and record audit event</x:v>
      </x:c>
      <x:c r="N26" s="382" t="str">
        <x:v>Show cited answer
and record audit event</x:v>
      </x:c>
      <x:c r="O26" s="383" t="str">
        <x:v>Show cited answer
and record audit event</x:v>
      </x:c>
    </x:row>
    <x:row r="27">
      <x:c r="K27" s="384" t="str">
        <x:v>Show cited answer
and record audit event</x:v>
      </x:c>
      <x:c r="L27" s="385" t="str">
        <x:v>Show cited answer
and record audit event</x:v>
      </x:c>
      <x:c r="M27" s="385" t="str">
        <x:v>Show cited answer
and record audit event</x:v>
      </x:c>
      <x:c r="N27" s="385" t="str">
        <x:v>Show cited answer
and record audit event</x:v>
      </x:c>
      <x:c r="O27" s="386" t="str">
        <x:v>Show cited answer
and record audit event</x:v>
      </x:c>
    </x:row>
  </x:sheetData>
  <x:mergeCells>
    <x:mergeCell ref="A2:C5"/>
    <x:mergeCell ref="D3:D4"/>
    <x:mergeCell ref="E2:G5"/>
    <x:mergeCell ref="H3:H4"/>
    <x:mergeCell ref="I2:K5"/>
    <x:mergeCell ref="L3:L4"/>
    <x:mergeCell ref="M2:O5"/>
    <x:mergeCell ref="F6:F7"/>
    <x:mergeCell ref="E8:G11"/>
    <x:mergeCell ref="N6:N7"/>
    <x:mergeCell ref="M8:O11"/>
    <x:mergeCell ref="N12:N13"/>
    <x:mergeCell ref="M14:O17"/>
    <x:mergeCell ref="N18:N19"/>
    <x:mergeCell ref="K20:O23"/>
    <x:mergeCell ref="J21:J22"/>
    <x:mergeCell ref="E20:I23"/>
    <x:mergeCell ref="K25:O27"/>
  </x:mergeCells>
  <x:pageMargins left="0.7" right="0.7" top="0.75" bottom="0.75" header="0.3" footer="0.3"/>
</x:worksheet>
</file>